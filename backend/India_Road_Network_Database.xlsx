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d.docs.live.net/3ED7CF8909485FA6/Documents/"/>
    </mc:Choice>
  </mc:AlternateContent>
  <xr:revisionPtr revIDLastSave="0" documentId="8_{B0A3F102-24D1-40B1-9AB0-D854E032578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ndia Road Network" sheetId="1" r:id="rId1"/>
    <sheet name="State Index" sheetId="2" r:id="rId2"/>
    <sheet name="Summary Dashboard" sheetId="3" r:id="rId3"/>
    <sheet name="Legend &amp; Notes" sheetId="4" r:id="rId4"/>
  </sheets>
  <definedNames>
    <definedName name="_xlnm._FilterDatabase" localSheetId="0" hidden="1">'India Road Network'!$A$1:$S$1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" i="3" l="1"/>
  <c r="B25" i="3"/>
  <c r="B22" i="3"/>
  <c r="B21" i="3"/>
  <c r="B20" i="3"/>
  <c r="C16" i="3"/>
  <c r="B16" i="3"/>
  <c r="C15" i="3"/>
  <c r="B15" i="3"/>
  <c r="C14" i="3"/>
  <c r="B14" i="3"/>
  <c r="C13" i="3"/>
  <c r="B13" i="3"/>
  <c r="C12" i="3"/>
  <c r="B12" i="3"/>
  <c r="C11" i="3"/>
  <c r="B11" i="3"/>
  <c r="B6" i="3"/>
  <c r="B4" i="3"/>
  <c r="F30" i="2"/>
  <c r="E30" i="2"/>
  <c r="D30" i="2"/>
  <c r="C30" i="2"/>
  <c r="B30" i="2"/>
  <c r="N501" i="1"/>
  <c r="P501" i="1" s="1"/>
  <c r="K501" i="1"/>
  <c r="P500" i="1"/>
  <c r="N500" i="1"/>
  <c r="K500" i="1"/>
  <c r="P499" i="1"/>
  <c r="N499" i="1"/>
  <c r="K499" i="1"/>
  <c r="P498" i="1"/>
  <c r="N498" i="1"/>
  <c r="K498" i="1"/>
  <c r="N497" i="1"/>
  <c r="P497" i="1" s="1"/>
  <c r="K497" i="1"/>
  <c r="N496" i="1"/>
  <c r="P496" i="1" s="1"/>
  <c r="K496" i="1"/>
  <c r="N495" i="1"/>
  <c r="P495" i="1" s="1"/>
  <c r="K495" i="1"/>
  <c r="N494" i="1"/>
  <c r="P494" i="1" s="1"/>
  <c r="K494" i="1"/>
  <c r="P493" i="1"/>
  <c r="N493" i="1"/>
  <c r="K493" i="1"/>
  <c r="N492" i="1"/>
  <c r="P492" i="1" s="1"/>
  <c r="K492" i="1"/>
  <c r="N491" i="1"/>
  <c r="P491" i="1" s="1"/>
  <c r="K491" i="1"/>
  <c r="N490" i="1"/>
  <c r="P490" i="1" s="1"/>
  <c r="K490" i="1"/>
  <c r="N489" i="1"/>
  <c r="P489" i="1" s="1"/>
  <c r="K489" i="1"/>
  <c r="N488" i="1"/>
  <c r="P488" i="1" s="1"/>
  <c r="K488" i="1"/>
  <c r="N487" i="1"/>
  <c r="P487" i="1" s="1"/>
  <c r="K487" i="1"/>
  <c r="N486" i="1"/>
  <c r="P486" i="1" s="1"/>
  <c r="K486" i="1"/>
  <c r="N485" i="1"/>
  <c r="P485" i="1" s="1"/>
  <c r="K485" i="1"/>
  <c r="N484" i="1"/>
  <c r="P484" i="1" s="1"/>
  <c r="K484" i="1"/>
  <c r="N483" i="1"/>
  <c r="P483" i="1" s="1"/>
  <c r="K483" i="1"/>
  <c r="N482" i="1"/>
  <c r="P482" i="1" s="1"/>
  <c r="K482" i="1"/>
  <c r="N481" i="1"/>
  <c r="P481" i="1" s="1"/>
  <c r="K481" i="1"/>
  <c r="N480" i="1"/>
  <c r="P480" i="1" s="1"/>
  <c r="K480" i="1"/>
  <c r="N479" i="1"/>
  <c r="P479" i="1" s="1"/>
  <c r="K479" i="1"/>
  <c r="N478" i="1"/>
  <c r="P478" i="1" s="1"/>
  <c r="K478" i="1"/>
  <c r="P477" i="1"/>
  <c r="N477" i="1"/>
  <c r="K477" i="1"/>
  <c r="N476" i="1"/>
  <c r="P476" i="1" s="1"/>
  <c r="K476" i="1"/>
  <c r="N475" i="1"/>
  <c r="P475" i="1" s="1"/>
  <c r="K475" i="1"/>
  <c r="N474" i="1"/>
  <c r="P474" i="1" s="1"/>
  <c r="K474" i="1"/>
  <c r="N473" i="1"/>
  <c r="P473" i="1" s="1"/>
  <c r="K473" i="1"/>
  <c r="N472" i="1"/>
  <c r="P472" i="1" s="1"/>
  <c r="K472" i="1"/>
  <c r="N471" i="1"/>
  <c r="P471" i="1" s="1"/>
  <c r="K471" i="1"/>
  <c r="P470" i="1"/>
  <c r="N470" i="1"/>
  <c r="K470" i="1"/>
  <c r="N469" i="1"/>
  <c r="P469" i="1" s="1"/>
  <c r="K469" i="1"/>
  <c r="P468" i="1"/>
  <c r="N468" i="1"/>
  <c r="K468" i="1"/>
  <c r="N467" i="1"/>
  <c r="P467" i="1" s="1"/>
  <c r="K467" i="1"/>
  <c r="N466" i="1"/>
  <c r="P466" i="1" s="1"/>
  <c r="K466" i="1"/>
  <c r="P465" i="1"/>
  <c r="N465" i="1"/>
  <c r="K465" i="1"/>
  <c r="P464" i="1"/>
  <c r="N464" i="1"/>
  <c r="K464" i="1"/>
  <c r="N463" i="1"/>
  <c r="P463" i="1" s="1"/>
  <c r="K463" i="1"/>
  <c r="N462" i="1"/>
  <c r="P462" i="1" s="1"/>
  <c r="K462" i="1"/>
  <c r="P461" i="1"/>
  <c r="N461" i="1"/>
  <c r="K461" i="1"/>
  <c r="N460" i="1"/>
  <c r="P460" i="1" s="1"/>
  <c r="K460" i="1"/>
  <c r="P459" i="1"/>
  <c r="N459" i="1"/>
  <c r="K459" i="1"/>
  <c r="P458" i="1"/>
  <c r="N458" i="1"/>
  <c r="K458" i="1"/>
  <c r="N457" i="1"/>
  <c r="P457" i="1" s="1"/>
  <c r="K457" i="1"/>
  <c r="N456" i="1"/>
  <c r="P456" i="1" s="1"/>
  <c r="K456" i="1"/>
  <c r="N455" i="1"/>
  <c r="P455" i="1" s="1"/>
  <c r="K455" i="1"/>
  <c r="N454" i="1"/>
  <c r="P454" i="1" s="1"/>
  <c r="K454" i="1"/>
  <c r="P453" i="1"/>
  <c r="N453" i="1"/>
  <c r="K453" i="1"/>
  <c r="P452" i="1"/>
  <c r="N452" i="1"/>
  <c r="K452" i="1"/>
  <c r="N451" i="1"/>
  <c r="P451" i="1" s="1"/>
  <c r="K451" i="1"/>
  <c r="N450" i="1"/>
  <c r="P450" i="1" s="1"/>
  <c r="K450" i="1"/>
  <c r="N449" i="1"/>
  <c r="P449" i="1" s="1"/>
  <c r="K449" i="1"/>
  <c r="N448" i="1"/>
  <c r="P448" i="1" s="1"/>
  <c r="K448" i="1"/>
  <c r="P447" i="1"/>
  <c r="N447" i="1"/>
  <c r="K447" i="1"/>
  <c r="N446" i="1"/>
  <c r="P446" i="1" s="1"/>
  <c r="K446" i="1"/>
  <c r="P445" i="1"/>
  <c r="N445" i="1"/>
  <c r="K445" i="1"/>
  <c r="N444" i="1"/>
  <c r="P444" i="1" s="1"/>
  <c r="K444" i="1"/>
  <c r="N443" i="1"/>
  <c r="P443" i="1" s="1"/>
  <c r="K443" i="1"/>
  <c r="N442" i="1"/>
  <c r="P442" i="1" s="1"/>
  <c r="K442" i="1"/>
  <c r="N441" i="1"/>
  <c r="P441" i="1" s="1"/>
  <c r="K441" i="1"/>
  <c r="N440" i="1"/>
  <c r="P440" i="1" s="1"/>
  <c r="K440" i="1"/>
  <c r="N439" i="1"/>
  <c r="P439" i="1" s="1"/>
  <c r="K439" i="1"/>
  <c r="N438" i="1"/>
  <c r="P438" i="1" s="1"/>
  <c r="K438" i="1"/>
  <c r="N437" i="1"/>
  <c r="P437" i="1" s="1"/>
  <c r="K437" i="1"/>
  <c r="P436" i="1"/>
  <c r="N436" i="1"/>
  <c r="K436" i="1"/>
  <c r="N435" i="1"/>
  <c r="P435" i="1" s="1"/>
  <c r="K435" i="1"/>
  <c r="N434" i="1"/>
  <c r="P434" i="1" s="1"/>
  <c r="K434" i="1"/>
  <c r="N433" i="1"/>
  <c r="P433" i="1" s="1"/>
  <c r="K433" i="1"/>
  <c r="N432" i="1"/>
  <c r="P432" i="1" s="1"/>
  <c r="K432" i="1"/>
  <c r="N431" i="1"/>
  <c r="P431" i="1" s="1"/>
  <c r="K431" i="1"/>
  <c r="N430" i="1"/>
  <c r="P430" i="1" s="1"/>
  <c r="K430" i="1"/>
  <c r="P429" i="1"/>
  <c r="N429" i="1"/>
  <c r="K429" i="1"/>
  <c r="N428" i="1"/>
  <c r="P428" i="1" s="1"/>
  <c r="K428" i="1"/>
  <c r="N427" i="1"/>
  <c r="P427" i="1" s="1"/>
  <c r="K427" i="1"/>
  <c r="N426" i="1"/>
  <c r="P426" i="1" s="1"/>
  <c r="K426" i="1"/>
  <c r="N425" i="1"/>
  <c r="P425" i="1" s="1"/>
  <c r="K425" i="1"/>
  <c r="N424" i="1"/>
  <c r="P424" i="1" s="1"/>
  <c r="K424" i="1"/>
  <c r="N423" i="1"/>
  <c r="P423" i="1" s="1"/>
  <c r="K423" i="1"/>
  <c r="P422" i="1"/>
  <c r="N422" i="1"/>
  <c r="K422" i="1"/>
  <c r="N421" i="1"/>
  <c r="P421" i="1" s="1"/>
  <c r="K421" i="1"/>
  <c r="P420" i="1"/>
  <c r="N420" i="1"/>
  <c r="K420" i="1"/>
  <c r="N419" i="1"/>
  <c r="P419" i="1" s="1"/>
  <c r="K419" i="1"/>
  <c r="N418" i="1"/>
  <c r="P418" i="1" s="1"/>
  <c r="K418" i="1"/>
  <c r="N417" i="1"/>
  <c r="P417" i="1" s="1"/>
  <c r="K417" i="1"/>
  <c r="P416" i="1"/>
  <c r="N416" i="1"/>
  <c r="K416" i="1"/>
  <c r="N415" i="1"/>
  <c r="P415" i="1" s="1"/>
  <c r="K415" i="1"/>
  <c r="N414" i="1"/>
  <c r="P414" i="1" s="1"/>
  <c r="K414" i="1"/>
  <c r="P413" i="1"/>
  <c r="N413" i="1"/>
  <c r="K413" i="1"/>
  <c r="N412" i="1"/>
  <c r="P412" i="1" s="1"/>
  <c r="K412" i="1"/>
  <c r="N411" i="1"/>
  <c r="P411" i="1" s="1"/>
  <c r="K411" i="1"/>
  <c r="P410" i="1"/>
  <c r="N410" i="1"/>
  <c r="K410" i="1"/>
  <c r="N409" i="1"/>
  <c r="P409" i="1" s="1"/>
  <c r="K409" i="1"/>
  <c r="N408" i="1"/>
  <c r="P408" i="1" s="1"/>
  <c r="K408" i="1"/>
  <c r="N407" i="1"/>
  <c r="P407" i="1" s="1"/>
  <c r="K407" i="1"/>
  <c r="N406" i="1"/>
  <c r="P406" i="1" s="1"/>
  <c r="K406" i="1"/>
  <c r="N405" i="1"/>
  <c r="P405" i="1" s="1"/>
  <c r="K405" i="1"/>
  <c r="P404" i="1"/>
  <c r="N404" i="1"/>
  <c r="K404" i="1"/>
  <c r="N403" i="1"/>
  <c r="P403" i="1" s="1"/>
  <c r="K403" i="1"/>
  <c r="N402" i="1"/>
  <c r="P402" i="1" s="1"/>
  <c r="K402" i="1"/>
  <c r="N401" i="1"/>
  <c r="P401" i="1" s="1"/>
  <c r="K401" i="1"/>
  <c r="N400" i="1"/>
  <c r="P400" i="1" s="1"/>
  <c r="K400" i="1"/>
  <c r="N399" i="1"/>
  <c r="P399" i="1" s="1"/>
  <c r="K399" i="1"/>
  <c r="N398" i="1"/>
  <c r="P398" i="1" s="1"/>
  <c r="K398" i="1"/>
  <c r="P397" i="1"/>
  <c r="N397" i="1"/>
  <c r="K397" i="1"/>
  <c r="N396" i="1"/>
  <c r="P396" i="1" s="1"/>
  <c r="K396" i="1"/>
  <c r="N395" i="1"/>
  <c r="P395" i="1" s="1"/>
  <c r="K395" i="1"/>
  <c r="N394" i="1"/>
  <c r="P394" i="1" s="1"/>
  <c r="K394" i="1"/>
  <c r="N393" i="1"/>
  <c r="P393" i="1" s="1"/>
  <c r="K393" i="1"/>
  <c r="P392" i="1"/>
  <c r="N392" i="1"/>
  <c r="K392" i="1"/>
  <c r="N391" i="1"/>
  <c r="P391" i="1" s="1"/>
  <c r="K391" i="1"/>
  <c r="N390" i="1"/>
  <c r="P390" i="1" s="1"/>
  <c r="K390" i="1"/>
  <c r="N389" i="1"/>
  <c r="P389" i="1" s="1"/>
  <c r="K389" i="1"/>
  <c r="P388" i="1"/>
  <c r="N388" i="1"/>
  <c r="K388" i="1"/>
  <c r="N387" i="1"/>
  <c r="P387" i="1" s="1"/>
  <c r="K387" i="1"/>
  <c r="N386" i="1"/>
  <c r="P386" i="1" s="1"/>
  <c r="K386" i="1"/>
  <c r="N385" i="1"/>
  <c r="P385" i="1" s="1"/>
  <c r="K385" i="1"/>
  <c r="N384" i="1"/>
  <c r="P384" i="1" s="1"/>
  <c r="K384" i="1"/>
  <c r="N383" i="1"/>
  <c r="P383" i="1" s="1"/>
  <c r="K383" i="1"/>
  <c r="N382" i="1"/>
  <c r="P382" i="1" s="1"/>
  <c r="K382" i="1"/>
  <c r="P381" i="1"/>
  <c r="N381" i="1"/>
  <c r="K381" i="1"/>
  <c r="N380" i="1"/>
  <c r="P380" i="1" s="1"/>
  <c r="K380" i="1"/>
  <c r="N379" i="1"/>
  <c r="P379" i="1" s="1"/>
  <c r="K379" i="1"/>
  <c r="N378" i="1"/>
  <c r="P378" i="1" s="1"/>
  <c r="K378" i="1"/>
  <c r="N377" i="1"/>
  <c r="P377" i="1" s="1"/>
  <c r="K377" i="1"/>
  <c r="N376" i="1"/>
  <c r="P376" i="1" s="1"/>
  <c r="K376" i="1"/>
  <c r="N375" i="1"/>
  <c r="P375" i="1" s="1"/>
  <c r="K375" i="1"/>
  <c r="P374" i="1"/>
  <c r="N374" i="1"/>
  <c r="K374" i="1"/>
  <c r="N373" i="1"/>
  <c r="P373" i="1" s="1"/>
  <c r="K373" i="1"/>
  <c r="P372" i="1"/>
  <c r="N372" i="1"/>
  <c r="K372" i="1"/>
  <c r="N371" i="1"/>
  <c r="P371" i="1" s="1"/>
  <c r="K371" i="1"/>
  <c r="N370" i="1"/>
  <c r="P370" i="1" s="1"/>
  <c r="K370" i="1"/>
  <c r="P369" i="1"/>
  <c r="N369" i="1"/>
  <c r="K369" i="1"/>
  <c r="N368" i="1"/>
  <c r="P368" i="1" s="1"/>
  <c r="K368" i="1"/>
  <c r="N367" i="1"/>
  <c r="P367" i="1" s="1"/>
  <c r="K367" i="1"/>
  <c r="N366" i="1"/>
  <c r="P366" i="1" s="1"/>
  <c r="K366" i="1"/>
  <c r="P365" i="1"/>
  <c r="N365" i="1"/>
  <c r="K365" i="1"/>
  <c r="N364" i="1"/>
  <c r="P364" i="1" s="1"/>
  <c r="K364" i="1"/>
  <c r="N363" i="1"/>
  <c r="P363" i="1" s="1"/>
  <c r="K363" i="1"/>
  <c r="N362" i="1"/>
  <c r="P362" i="1" s="1"/>
  <c r="K362" i="1"/>
  <c r="N361" i="1"/>
  <c r="P361" i="1" s="1"/>
  <c r="K361" i="1"/>
  <c r="N360" i="1"/>
  <c r="P360" i="1" s="1"/>
  <c r="K360" i="1"/>
  <c r="N359" i="1"/>
  <c r="P359" i="1" s="1"/>
  <c r="K359" i="1"/>
  <c r="N358" i="1"/>
  <c r="P358" i="1" s="1"/>
  <c r="K358" i="1"/>
  <c r="N357" i="1"/>
  <c r="P357" i="1" s="1"/>
  <c r="K357" i="1"/>
  <c r="P356" i="1"/>
  <c r="N356" i="1"/>
  <c r="K356" i="1"/>
  <c r="N355" i="1"/>
  <c r="P355" i="1" s="1"/>
  <c r="K355" i="1"/>
  <c r="N354" i="1"/>
  <c r="P354" i="1" s="1"/>
  <c r="K354" i="1"/>
  <c r="N353" i="1"/>
  <c r="P353" i="1" s="1"/>
  <c r="K353" i="1"/>
  <c r="N352" i="1"/>
  <c r="P352" i="1" s="1"/>
  <c r="K352" i="1"/>
  <c r="P351" i="1"/>
  <c r="N351" i="1"/>
  <c r="K351" i="1"/>
  <c r="N350" i="1"/>
  <c r="P350" i="1" s="1"/>
  <c r="K350" i="1"/>
  <c r="P349" i="1"/>
  <c r="N349" i="1"/>
  <c r="K349" i="1"/>
  <c r="N348" i="1"/>
  <c r="P348" i="1" s="1"/>
  <c r="K348" i="1"/>
  <c r="N347" i="1"/>
  <c r="P347" i="1" s="1"/>
  <c r="K347" i="1"/>
  <c r="N346" i="1"/>
  <c r="P346" i="1" s="1"/>
  <c r="K346" i="1"/>
  <c r="N345" i="1"/>
  <c r="P345" i="1" s="1"/>
  <c r="K345" i="1"/>
  <c r="N344" i="1"/>
  <c r="P344" i="1" s="1"/>
  <c r="K344" i="1"/>
  <c r="N343" i="1"/>
  <c r="P343" i="1" s="1"/>
  <c r="K343" i="1"/>
  <c r="N342" i="1"/>
  <c r="P342" i="1" s="1"/>
  <c r="K342" i="1"/>
  <c r="N341" i="1"/>
  <c r="P341" i="1" s="1"/>
  <c r="K341" i="1"/>
  <c r="P340" i="1"/>
  <c r="N340" i="1"/>
  <c r="K340" i="1"/>
  <c r="P339" i="1"/>
  <c r="N339" i="1"/>
  <c r="K339" i="1"/>
  <c r="N338" i="1"/>
  <c r="P338" i="1" s="1"/>
  <c r="K338" i="1"/>
  <c r="N337" i="1"/>
  <c r="P337" i="1" s="1"/>
  <c r="K337" i="1"/>
  <c r="N336" i="1"/>
  <c r="P336" i="1" s="1"/>
  <c r="K336" i="1"/>
  <c r="N335" i="1"/>
  <c r="P335" i="1" s="1"/>
  <c r="K335" i="1"/>
  <c r="N334" i="1"/>
  <c r="P334" i="1" s="1"/>
  <c r="K334" i="1"/>
  <c r="P333" i="1"/>
  <c r="N333" i="1"/>
  <c r="K333" i="1"/>
  <c r="N332" i="1"/>
  <c r="P332" i="1" s="1"/>
  <c r="K332" i="1"/>
  <c r="N331" i="1"/>
  <c r="P331" i="1" s="1"/>
  <c r="K331" i="1"/>
  <c r="N330" i="1"/>
  <c r="P330" i="1" s="1"/>
  <c r="K330" i="1"/>
  <c r="N329" i="1"/>
  <c r="P329" i="1" s="1"/>
  <c r="K329" i="1"/>
  <c r="N328" i="1"/>
  <c r="P328" i="1" s="1"/>
  <c r="K328" i="1"/>
  <c r="N327" i="1"/>
  <c r="P327" i="1" s="1"/>
  <c r="K327" i="1"/>
  <c r="N326" i="1"/>
  <c r="P326" i="1" s="1"/>
  <c r="K326" i="1"/>
  <c r="N325" i="1"/>
  <c r="P325" i="1" s="1"/>
  <c r="K325" i="1"/>
  <c r="P324" i="1"/>
  <c r="N324" i="1"/>
  <c r="K324" i="1"/>
  <c r="N323" i="1"/>
  <c r="P323" i="1" s="1"/>
  <c r="K323" i="1"/>
  <c r="N322" i="1"/>
  <c r="P322" i="1" s="1"/>
  <c r="K322" i="1"/>
  <c r="P321" i="1"/>
  <c r="N321" i="1"/>
  <c r="K321" i="1"/>
  <c r="P320" i="1"/>
  <c r="N320" i="1"/>
  <c r="K320" i="1"/>
  <c r="N319" i="1"/>
  <c r="P319" i="1" s="1"/>
  <c r="K319" i="1"/>
  <c r="N318" i="1"/>
  <c r="P318" i="1" s="1"/>
  <c r="K318" i="1"/>
  <c r="P317" i="1"/>
  <c r="N317" i="1"/>
  <c r="K317" i="1"/>
  <c r="N316" i="1"/>
  <c r="P316" i="1" s="1"/>
  <c r="K316" i="1"/>
  <c r="P315" i="1"/>
  <c r="N315" i="1"/>
  <c r="K315" i="1"/>
  <c r="P314" i="1"/>
  <c r="N314" i="1"/>
  <c r="K314" i="1"/>
  <c r="N313" i="1"/>
  <c r="P313" i="1" s="1"/>
  <c r="K313" i="1"/>
  <c r="N312" i="1"/>
  <c r="P312" i="1" s="1"/>
  <c r="K312" i="1"/>
  <c r="N311" i="1"/>
  <c r="P311" i="1" s="1"/>
  <c r="K311" i="1"/>
  <c r="N310" i="1"/>
  <c r="P310" i="1" s="1"/>
  <c r="K310" i="1"/>
  <c r="P309" i="1"/>
  <c r="N309" i="1"/>
  <c r="K309" i="1"/>
  <c r="P308" i="1"/>
  <c r="N308" i="1"/>
  <c r="K308" i="1"/>
  <c r="N307" i="1"/>
  <c r="P307" i="1" s="1"/>
  <c r="K307" i="1"/>
  <c r="N306" i="1"/>
  <c r="P306" i="1" s="1"/>
  <c r="K306" i="1"/>
  <c r="N305" i="1"/>
  <c r="P305" i="1" s="1"/>
  <c r="K305" i="1"/>
  <c r="N304" i="1"/>
  <c r="P304" i="1" s="1"/>
  <c r="K304" i="1"/>
  <c r="P303" i="1"/>
  <c r="N303" i="1"/>
  <c r="K303" i="1"/>
  <c r="N302" i="1"/>
  <c r="P302" i="1" s="1"/>
  <c r="K302" i="1"/>
  <c r="P301" i="1"/>
  <c r="N301" i="1"/>
  <c r="K301" i="1"/>
  <c r="N300" i="1"/>
  <c r="P300" i="1" s="1"/>
  <c r="K300" i="1"/>
  <c r="N299" i="1"/>
  <c r="P299" i="1" s="1"/>
  <c r="K299" i="1"/>
  <c r="P298" i="1"/>
  <c r="N298" i="1"/>
  <c r="K298" i="1"/>
  <c r="N297" i="1"/>
  <c r="P297" i="1" s="1"/>
  <c r="K297" i="1"/>
  <c r="P296" i="1"/>
  <c r="N296" i="1"/>
  <c r="K296" i="1"/>
  <c r="N295" i="1"/>
  <c r="P295" i="1" s="1"/>
  <c r="K295" i="1"/>
  <c r="N294" i="1"/>
  <c r="P294" i="1" s="1"/>
  <c r="K294" i="1"/>
  <c r="N293" i="1"/>
  <c r="P293" i="1" s="1"/>
  <c r="K293" i="1"/>
  <c r="P292" i="1"/>
  <c r="N292" i="1"/>
  <c r="K292" i="1"/>
  <c r="P291" i="1"/>
  <c r="N291" i="1"/>
  <c r="K291" i="1"/>
  <c r="N290" i="1"/>
  <c r="P290" i="1" s="1"/>
  <c r="K290" i="1"/>
  <c r="N289" i="1"/>
  <c r="P289" i="1" s="1"/>
  <c r="K289" i="1"/>
  <c r="N288" i="1"/>
  <c r="P288" i="1" s="1"/>
  <c r="K288" i="1"/>
  <c r="N287" i="1"/>
  <c r="P287" i="1" s="1"/>
  <c r="K287" i="1"/>
  <c r="N286" i="1"/>
  <c r="P286" i="1" s="1"/>
  <c r="K286" i="1"/>
  <c r="P285" i="1"/>
  <c r="N285" i="1"/>
  <c r="K285" i="1"/>
  <c r="N284" i="1"/>
  <c r="P284" i="1" s="1"/>
  <c r="K284" i="1"/>
  <c r="N283" i="1"/>
  <c r="P283" i="1" s="1"/>
  <c r="K283" i="1"/>
  <c r="N282" i="1"/>
  <c r="P282" i="1" s="1"/>
  <c r="K282" i="1"/>
  <c r="N281" i="1"/>
  <c r="P281" i="1" s="1"/>
  <c r="K281" i="1"/>
  <c r="N280" i="1"/>
  <c r="P280" i="1" s="1"/>
  <c r="K280" i="1"/>
  <c r="N279" i="1"/>
  <c r="P279" i="1" s="1"/>
  <c r="K279" i="1"/>
  <c r="P278" i="1"/>
  <c r="N278" i="1"/>
  <c r="K278" i="1"/>
  <c r="N277" i="1"/>
  <c r="P277" i="1" s="1"/>
  <c r="K277" i="1"/>
  <c r="P276" i="1"/>
  <c r="N276" i="1"/>
  <c r="K276" i="1"/>
  <c r="N275" i="1"/>
  <c r="P275" i="1" s="1"/>
  <c r="K275" i="1"/>
  <c r="N274" i="1"/>
  <c r="P274" i="1" s="1"/>
  <c r="K274" i="1"/>
  <c r="P273" i="1"/>
  <c r="N273" i="1"/>
  <c r="K273" i="1"/>
  <c r="N272" i="1"/>
  <c r="P272" i="1" s="1"/>
  <c r="K272" i="1"/>
  <c r="N271" i="1"/>
  <c r="P271" i="1" s="1"/>
  <c r="K271" i="1"/>
  <c r="N270" i="1"/>
  <c r="P270" i="1" s="1"/>
  <c r="K270" i="1"/>
  <c r="P269" i="1"/>
  <c r="N269" i="1"/>
  <c r="K269" i="1"/>
  <c r="N268" i="1"/>
  <c r="P268" i="1" s="1"/>
  <c r="K268" i="1"/>
  <c r="P267" i="1"/>
  <c r="N267" i="1"/>
  <c r="K267" i="1"/>
  <c r="N266" i="1"/>
  <c r="P266" i="1" s="1"/>
  <c r="K266" i="1"/>
  <c r="N265" i="1"/>
  <c r="P265" i="1" s="1"/>
  <c r="K265" i="1"/>
  <c r="N264" i="1"/>
  <c r="P264" i="1" s="1"/>
  <c r="K264" i="1"/>
  <c r="N263" i="1"/>
  <c r="P263" i="1" s="1"/>
  <c r="K263" i="1"/>
  <c r="N262" i="1"/>
  <c r="P262" i="1" s="1"/>
  <c r="K262" i="1"/>
  <c r="P261" i="1"/>
  <c r="N261" i="1"/>
  <c r="K261" i="1"/>
  <c r="P260" i="1"/>
  <c r="N260" i="1"/>
  <c r="K260" i="1"/>
  <c r="N259" i="1"/>
  <c r="P259" i="1" s="1"/>
  <c r="K259" i="1"/>
  <c r="N258" i="1"/>
  <c r="P258" i="1" s="1"/>
  <c r="K258" i="1"/>
  <c r="N257" i="1"/>
  <c r="P257" i="1" s="1"/>
  <c r="K257" i="1"/>
  <c r="N256" i="1"/>
  <c r="P256" i="1" s="1"/>
  <c r="K256" i="1"/>
  <c r="N255" i="1"/>
  <c r="P255" i="1" s="1"/>
  <c r="K255" i="1"/>
  <c r="N254" i="1"/>
  <c r="P254" i="1" s="1"/>
  <c r="K254" i="1"/>
  <c r="P253" i="1"/>
  <c r="N253" i="1"/>
  <c r="K253" i="1"/>
  <c r="N252" i="1"/>
  <c r="P252" i="1" s="1"/>
  <c r="K252" i="1"/>
  <c r="N251" i="1"/>
  <c r="P251" i="1" s="1"/>
  <c r="K251" i="1"/>
  <c r="P250" i="1"/>
  <c r="N250" i="1"/>
  <c r="K250" i="1"/>
  <c r="N249" i="1"/>
  <c r="P249" i="1" s="1"/>
  <c r="K249" i="1"/>
  <c r="N248" i="1"/>
  <c r="P248" i="1" s="1"/>
  <c r="K248" i="1"/>
  <c r="N247" i="1"/>
  <c r="P247" i="1" s="1"/>
  <c r="K247" i="1"/>
  <c r="N246" i="1"/>
  <c r="P246" i="1" s="1"/>
  <c r="K246" i="1"/>
  <c r="N245" i="1"/>
  <c r="P245" i="1" s="1"/>
  <c r="K245" i="1"/>
  <c r="P244" i="1"/>
  <c r="N244" i="1"/>
  <c r="K244" i="1"/>
  <c r="N243" i="1"/>
  <c r="P243" i="1" s="1"/>
  <c r="K243" i="1"/>
  <c r="N242" i="1"/>
  <c r="P242" i="1" s="1"/>
  <c r="K242" i="1"/>
  <c r="N241" i="1"/>
  <c r="P241" i="1" s="1"/>
  <c r="K241" i="1"/>
  <c r="N240" i="1"/>
  <c r="P240" i="1" s="1"/>
  <c r="K240" i="1"/>
  <c r="N239" i="1"/>
  <c r="P239" i="1" s="1"/>
  <c r="K239" i="1"/>
  <c r="N238" i="1"/>
  <c r="P238" i="1" s="1"/>
  <c r="K238" i="1"/>
  <c r="P237" i="1"/>
  <c r="N237" i="1"/>
  <c r="K237" i="1"/>
  <c r="N236" i="1"/>
  <c r="P236" i="1" s="1"/>
  <c r="K236" i="1"/>
  <c r="N235" i="1"/>
  <c r="P235" i="1" s="1"/>
  <c r="K235" i="1"/>
  <c r="N234" i="1"/>
  <c r="P234" i="1" s="1"/>
  <c r="K234" i="1"/>
  <c r="N233" i="1"/>
  <c r="P233" i="1" s="1"/>
  <c r="K233" i="1"/>
  <c r="N232" i="1"/>
  <c r="P232" i="1" s="1"/>
  <c r="K232" i="1"/>
  <c r="N231" i="1"/>
  <c r="P231" i="1" s="1"/>
  <c r="K231" i="1"/>
  <c r="N230" i="1"/>
  <c r="P230" i="1" s="1"/>
  <c r="K230" i="1"/>
  <c r="N229" i="1"/>
  <c r="P229" i="1" s="1"/>
  <c r="K229" i="1"/>
  <c r="P228" i="1"/>
  <c r="N228" i="1"/>
  <c r="K228" i="1"/>
  <c r="N227" i="1"/>
  <c r="P227" i="1" s="1"/>
  <c r="K227" i="1"/>
  <c r="N226" i="1"/>
  <c r="P226" i="1" s="1"/>
  <c r="K226" i="1"/>
  <c r="N225" i="1"/>
  <c r="P225" i="1" s="1"/>
  <c r="K225" i="1"/>
  <c r="N224" i="1"/>
  <c r="P224" i="1" s="1"/>
  <c r="K224" i="1"/>
  <c r="N223" i="1"/>
  <c r="P223" i="1" s="1"/>
  <c r="K223" i="1"/>
  <c r="N222" i="1"/>
  <c r="P222" i="1" s="1"/>
  <c r="K222" i="1"/>
  <c r="P221" i="1"/>
  <c r="N221" i="1"/>
  <c r="K221" i="1"/>
  <c r="N220" i="1"/>
  <c r="P220" i="1" s="1"/>
  <c r="K220" i="1"/>
  <c r="N219" i="1"/>
  <c r="P219" i="1" s="1"/>
  <c r="K219" i="1"/>
  <c r="N218" i="1"/>
  <c r="P218" i="1" s="1"/>
  <c r="K218" i="1"/>
  <c r="N217" i="1"/>
  <c r="P217" i="1" s="1"/>
  <c r="K217" i="1"/>
  <c r="N216" i="1"/>
  <c r="P216" i="1" s="1"/>
  <c r="K216" i="1"/>
  <c r="N215" i="1"/>
  <c r="P215" i="1" s="1"/>
  <c r="K215" i="1"/>
  <c r="P214" i="1"/>
  <c r="N214" i="1"/>
  <c r="K214" i="1"/>
  <c r="N213" i="1"/>
  <c r="P213" i="1" s="1"/>
  <c r="K213" i="1"/>
  <c r="P212" i="1"/>
  <c r="N212" i="1"/>
  <c r="K212" i="1"/>
  <c r="N211" i="1"/>
  <c r="P211" i="1" s="1"/>
  <c r="K211" i="1"/>
  <c r="N210" i="1"/>
  <c r="P210" i="1" s="1"/>
  <c r="K210" i="1"/>
  <c r="N209" i="1"/>
  <c r="P209" i="1" s="1"/>
  <c r="K209" i="1"/>
  <c r="P208" i="1"/>
  <c r="N208" i="1"/>
  <c r="K208" i="1"/>
  <c r="P207" i="1"/>
  <c r="N207" i="1"/>
  <c r="K207" i="1"/>
  <c r="N206" i="1"/>
  <c r="P206" i="1" s="1"/>
  <c r="K206" i="1"/>
  <c r="P205" i="1"/>
  <c r="N205" i="1"/>
  <c r="K205" i="1"/>
  <c r="N204" i="1"/>
  <c r="P204" i="1" s="1"/>
  <c r="K204" i="1"/>
  <c r="N203" i="1"/>
  <c r="P203" i="1" s="1"/>
  <c r="K203" i="1"/>
  <c r="P202" i="1"/>
  <c r="N202" i="1"/>
  <c r="K202" i="1"/>
  <c r="N201" i="1"/>
  <c r="P201" i="1" s="1"/>
  <c r="K201" i="1"/>
  <c r="N200" i="1"/>
  <c r="P200" i="1" s="1"/>
  <c r="K200" i="1"/>
  <c r="N199" i="1"/>
  <c r="P199" i="1" s="1"/>
  <c r="K199" i="1"/>
  <c r="N198" i="1"/>
  <c r="P198" i="1" s="1"/>
  <c r="K198" i="1"/>
  <c r="N197" i="1"/>
  <c r="P197" i="1" s="1"/>
  <c r="K197" i="1"/>
  <c r="P196" i="1"/>
  <c r="N196" i="1"/>
  <c r="K196" i="1"/>
  <c r="P195" i="1"/>
  <c r="N195" i="1"/>
  <c r="K195" i="1"/>
  <c r="N194" i="1"/>
  <c r="P194" i="1" s="1"/>
  <c r="K194" i="1"/>
  <c r="N193" i="1"/>
  <c r="P193" i="1" s="1"/>
  <c r="K193" i="1"/>
  <c r="N192" i="1"/>
  <c r="P192" i="1" s="1"/>
  <c r="K192" i="1"/>
  <c r="N191" i="1"/>
  <c r="P191" i="1" s="1"/>
  <c r="K191" i="1"/>
  <c r="N190" i="1"/>
  <c r="P190" i="1" s="1"/>
  <c r="K190" i="1"/>
  <c r="P189" i="1"/>
  <c r="N189" i="1"/>
  <c r="K189" i="1"/>
  <c r="N188" i="1"/>
  <c r="P188" i="1" s="1"/>
  <c r="K188" i="1"/>
  <c r="N187" i="1"/>
  <c r="P187" i="1" s="1"/>
  <c r="K187" i="1"/>
  <c r="N186" i="1"/>
  <c r="P186" i="1" s="1"/>
  <c r="K186" i="1"/>
  <c r="N185" i="1"/>
  <c r="P185" i="1" s="1"/>
  <c r="K185" i="1"/>
  <c r="P184" i="1"/>
  <c r="N184" i="1"/>
  <c r="K184" i="1"/>
  <c r="N183" i="1"/>
  <c r="P183" i="1" s="1"/>
  <c r="K183" i="1"/>
  <c r="N182" i="1"/>
  <c r="P182" i="1" s="1"/>
  <c r="K182" i="1"/>
  <c r="N181" i="1"/>
  <c r="P181" i="1" s="1"/>
  <c r="K181" i="1"/>
  <c r="P180" i="1"/>
  <c r="N180" i="1"/>
  <c r="K180" i="1"/>
  <c r="P179" i="1"/>
  <c r="N179" i="1"/>
  <c r="K179" i="1"/>
  <c r="N178" i="1"/>
  <c r="P178" i="1" s="1"/>
  <c r="K178" i="1"/>
  <c r="P177" i="1"/>
  <c r="N177" i="1"/>
  <c r="K177" i="1"/>
  <c r="N176" i="1"/>
  <c r="P176" i="1" s="1"/>
  <c r="K176" i="1"/>
  <c r="N175" i="1"/>
  <c r="P175" i="1" s="1"/>
  <c r="K175" i="1"/>
  <c r="N174" i="1"/>
  <c r="P174" i="1" s="1"/>
  <c r="K174" i="1"/>
  <c r="P173" i="1"/>
  <c r="N173" i="1"/>
  <c r="K173" i="1"/>
  <c r="N172" i="1"/>
  <c r="P172" i="1" s="1"/>
  <c r="K172" i="1"/>
  <c r="P171" i="1"/>
  <c r="N171" i="1"/>
  <c r="K171" i="1"/>
  <c r="N170" i="1"/>
  <c r="P170" i="1" s="1"/>
  <c r="K170" i="1"/>
  <c r="N169" i="1"/>
  <c r="P169" i="1" s="1"/>
  <c r="K169" i="1"/>
  <c r="N168" i="1"/>
  <c r="P168" i="1" s="1"/>
  <c r="K168" i="1"/>
  <c r="N167" i="1"/>
  <c r="P167" i="1" s="1"/>
  <c r="K167" i="1"/>
  <c r="P166" i="1"/>
  <c r="N166" i="1"/>
  <c r="K166" i="1"/>
  <c r="P165" i="1"/>
  <c r="N165" i="1"/>
  <c r="K165" i="1"/>
  <c r="P164" i="1"/>
  <c r="N164" i="1"/>
  <c r="K164" i="1"/>
  <c r="N163" i="1"/>
  <c r="P163" i="1" s="1"/>
  <c r="K163" i="1"/>
  <c r="N162" i="1"/>
  <c r="P162" i="1" s="1"/>
  <c r="K162" i="1"/>
  <c r="N161" i="1"/>
  <c r="P161" i="1" s="1"/>
  <c r="K161" i="1"/>
  <c r="P160" i="1"/>
  <c r="N160" i="1"/>
  <c r="K160" i="1"/>
  <c r="N159" i="1"/>
  <c r="P159" i="1" s="1"/>
  <c r="K159" i="1"/>
  <c r="N158" i="1"/>
  <c r="P158" i="1" s="1"/>
  <c r="K158" i="1"/>
  <c r="P157" i="1"/>
  <c r="N157" i="1"/>
  <c r="K157" i="1"/>
  <c r="N156" i="1"/>
  <c r="P156" i="1" s="1"/>
  <c r="K156" i="1"/>
  <c r="N155" i="1"/>
  <c r="P155" i="1" s="1"/>
  <c r="K155" i="1"/>
  <c r="P154" i="1"/>
  <c r="N154" i="1"/>
  <c r="K154" i="1"/>
  <c r="N153" i="1"/>
  <c r="P153" i="1" s="1"/>
  <c r="K153" i="1"/>
  <c r="N152" i="1"/>
  <c r="P152" i="1" s="1"/>
  <c r="K152" i="1"/>
  <c r="N151" i="1"/>
  <c r="P151" i="1" s="1"/>
  <c r="K151" i="1"/>
  <c r="N150" i="1"/>
  <c r="P150" i="1" s="1"/>
  <c r="K150" i="1"/>
  <c r="N149" i="1"/>
  <c r="P149" i="1" s="1"/>
  <c r="K149" i="1"/>
  <c r="P148" i="1"/>
  <c r="N148" i="1"/>
  <c r="K148" i="1"/>
  <c r="N147" i="1"/>
  <c r="P147" i="1" s="1"/>
  <c r="K147" i="1"/>
  <c r="N146" i="1"/>
  <c r="P146" i="1" s="1"/>
  <c r="K146" i="1"/>
  <c r="N145" i="1"/>
  <c r="P145" i="1" s="1"/>
  <c r="K145" i="1"/>
  <c r="N144" i="1"/>
  <c r="P144" i="1" s="1"/>
  <c r="K144" i="1"/>
  <c r="N143" i="1"/>
  <c r="P143" i="1" s="1"/>
  <c r="K143" i="1"/>
  <c r="N142" i="1"/>
  <c r="P142" i="1" s="1"/>
  <c r="K142" i="1"/>
  <c r="P141" i="1"/>
  <c r="N141" i="1"/>
  <c r="K141" i="1"/>
  <c r="N140" i="1"/>
  <c r="P140" i="1" s="1"/>
  <c r="K140" i="1"/>
  <c r="N139" i="1"/>
  <c r="P139" i="1" s="1"/>
  <c r="K139" i="1"/>
  <c r="N138" i="1"/>
  <c r="P138" i="1" s="1"/>
  <c r="K138" i="1"/>
  <c r="N137" i="1"/>
  <c r="P137" i="1" s="1"/>
  <c r="K137" i="1"/>
  <c r="P136" i="1"/>
  <c r="N136" i="1"/>
  <c r="K136" i="1"/>
  <c r="N135" i="1"/>
  <c r="P135" i="1" s="1"/>
  <c r="K135" i="1"/>
  <c r="N134" i="1"/>
  <c r="P134" i="1" s="1"/>
  <c r="K134" i="1"/>
  <c r="N133" i="1"/>
  <c r="P133" i="1" s="1"/>
  <c r="K133" i="1"/>
  <c r="P132" i="1"/>
  <c r="N132" i="1"/>
  <c r="K132" i="1"/>
  <c r="N131" i="1"/>
  <c r="P131" i="1" s="1"/>
  <c r="K131" i="1"/>
  <c r="N130" i="1"/>
  <c r="P130" i="1" s="1"/>
  <c r="K130" i="1"/>
  <c r="N129" i="1"/>
  <c r="P129" i="1" s="1"/>
  <c r="K129" i="1"/>
  <c r="N128" i="1"/>
  <c r="P128" i="1" s="1"/>
  <c r="K128" i="1"/>
  <c r="N127" i="1"/>
  <c r="P127" i="1" s="1"/>
  <c r="K127" i="1"/>
  <c r="N126" i="1"/>
  <c r="P126" i="1" s="1"/>
  <c r="K126" i="1"/>
  <c r="P125" i="1"/>
  <c r="N125" i="1"/>
  <c r="K125" i="1"/>
  <c r="N124" i="1"/>
  <c r="P124" i="1" s="1"/>
  <c r="K124" i="1"/>
  <c r="N123" i="1"/>
  <c r="P123" i="1" s="1"/>
  <c r="K123" i="1"/>
  <c r="N122" i="1"/>
  <c r="P122" i="1" s="1"/>
  <c r="K122" i="1"/>
  <c r="N121" i="1"/>
  <c r="P121" i="1" s="1"/>
  <c r="K121" i="1"/>
  <c r="N120" i="1"/>
  <c r="P120" i="1" s="1"/>
  <c r="K120" i="1"/>
  <c r="N119" i="1"/>
  <c r="P119" i="1" s="1"/>
  <c r="K119" i="1"/>
  <c r="P118" i="1"/>
  <c r="N118" i="1"/>
  <c r="K118" i="1"/>
  <c r="N117" i="1"/>
  <c r="P117" i="1" s="1"/>
  <c r="K117" i="1"/>
  <c r="P116" i="1"/>
  <c r="N116" i="1"/>
  <c r="K116" i="1"/>
  <c r="N115" i="1"/>
  <c r="P115" i="1" s="1"/>
  <c r="K115" i="1"/>
  <c r="N114" i="1"/>
  <c r="P114" i="1" s="1"/>
  <c r="K114" i="1"/>
  <c r="N113" i="1"/>
  <c r="P113" i="1" s="1"/>
  <c r="K113" i="1"/>
  <c r="N112" i="1"/>
  <c r="P112" i="1" s="1"/>
  <c r="K112" i="1"/>
  <c r="N111" i="1"/>
  <c r="P111" i="1" s="1"/>
  <c r="K111" i="1"/>
  <c r="N110" i="1"/>
  <c r="P110" i="1" s="1"/>
  <c r="K110" i="1"/>
  <c r="P109" i="1"/>
  <c r="N109" i="1"/>
  <c r="K109" i="1"/>
  <c r="N108" i="1"/>
  <c r="P108" i="1" s="1"/>
  <c r="K108" i="1"/>
  <c r="N107" i="1"/>
  <c r="P107" i="1" s="1"/>
  <c r="K107" i="1"/>
  <c r="N106" i="1"/>
  <c r="P106" i="1" s="1"/>
  <c r="K106" i="1"/>
  <c r="N105" i="1"/>
  <c r="P105" i="1" s="1"/>
  <c r="K105" i="1"/>
  <c r="N104" i="1"/>
  <c r="P104" i="1" s="1"/>
  <c r="K104" i="1"/>
  <c r="N103" i="1"/>
  <c r="P103" i="1" s="1"/>
  <c r="K103" i="1"/>
  <c r="N102" i="1"/>
  <c r="P102" i="1" s="1"/>
  <c r="K102" i="1"/>
  <c r="N101" i="1"/>
  <c r="P101" i="1" s="1"/>
  <c r="K101" i="1"/>
  <c r="P100" i="1"/>
  <c r="N100" i="1"/>
  <c r="K100" i="1"/>
  <c r="N99" i="1"/>
  <c r="P99" i="1" s="1"/>
  <c r="K99" i="1"/>
  <c r="N98" i="1"/>
  <c r="P98" i="1" s="1"/>
  <c r="K98" i="1"/>
  <c r="N97" i="1"/>
  <c r="P97" i="1" s="1"/>
  <c r="K97" i="1"/>
  <c r="N96" i="1"/>
  <c r="P96" i="1" s="1"/>
  <c r="K96" i="1"/>
  <c r="P95" i="1"/>
  <c r="N95" i="1"/>
  <c r="K95" i="1"/>
  <c r="N94" i="1"/>
  <c r="P94" i="1" s="1"/>
  <c r="K94" i="1"/>
  <c r="P93" i="1"/>
  <c r="N93" i="1"/>
  <c r="K93" i="1"/>
  <c r="N92" i="1"/>
  <c r="P92" i="1" s="1"/>
  <c r="K92" i="1"/>
  <c r="N91" i="1"/>
  <c r="P91" i="1" s="1"/>
  <c r="K91" i="1"/>
  <c r="N90" i="1"/>
  <c r="P90" i="1" s="1"/>
  <c r="K90" i="1"/>
  <c r="N89" i="1"/>
  <c r="P89" i="1" s="1"/>
  <c r="K89" i="1"/>
  <c r="P88" i="1"/>
  <c r="N88" i="1"/>
  <c r="K88" i="1"/>
  <c r="N87" i="1"/>
  <c r="P87" i="1" s="1"/>
  <c r="K87" i="1"/>
  <c r="N86" i="1"/>
  <c r="P86" i="1" s="1"/>
  <c r="K86" i="1"/>
  <c r="N85" i="1"/>
  <c r="P85" i="1" s="1"/>
  <c r="K85" i="1"/>
  <c r="P84" i="1"/>
  <c r="N84" i="1"/>
  <c r="K84" i="1"/>
  <c r="P83" i="1"/>
  <c r="N83" i="1"/>
  <c r="K83" i="1"/>
  <c r="N82" i="1"/>
  <c r="P82" i="1" s="1"/>
  <c r="K82" i="1"/>
  <c r="N81" i="1"/>
  <c r="P81" i="1" s="1"/>
  <c r="K81" i="1"/>
  <c r="N80" i="1"/>
  <c r="P80" i="1" s="1"/>
  <c r="K80" i="1"/>
  <c r="N79" i="1"/>
  <c r="P79" i="1" s="1"/>
  <c r="K79" i="1"/>
  <c r="N78" i="1"/>
  <c r="P78" i="1" s="1"/>
  <c r="K78" i="1"/>
  <c r="P77" i="1"/>
  <c r="N77" i="1"/>
  <c r="K77" i="1"/>
  <c r="N76" i="1"/>
  <c r="P76" i="1" s="1"/>
  <c r="K76" i="1"/>
  <c r="N75" i="1"/>
  <c r="P75" i="1" s="1"/>
  <c r="K75" i="1"/>
  <c r="N74" i="1"/>
  <c r="P74" i="1" s="1"/>
  <c r="K74" i="1"/>
  <c r="N73" i="1"/>
  <c r="P73" i="1" s="1"/>
  <c r="K73" i="1"/>
  <c r="N72" i="1"/>
  <c r="P72" i="1" s="1"/>
  <c r="K72" i="1"/>
  <c r="N71" i="1"/>
  <c r="P71" i="1" s="1"/>
  <c r="K71" i="1"/>
  <c r="N70" i="1"/>
  <c r="P70" i="1" s="1"/>
  <c r="K70" i="1"/>
  <c r="N69" i="1"/>
  <c r="P69" i="1" s="1"/>
  <c r="K69" i="1"/>
  <c r="P68" i="1"/>
  <c r="N68" i="1"/>
  <c r="K68" i="1"/>
  <c r="N67" i="1"/>
  <c r="P67" i="1" s="1"/>
  <c r="K67" i="1"/>
  <c r="N66" i="1"/>
  <c r="P66" i="1" s="1"/>
  <c r="K66" i="1"/>
  <c r="N65" i="1"/>
  <c r="P65" i="1" s="1"/>
  <c r="K65" i="1"/>
  <c r="N64" i="1"/>
  <c r="P64" i="1" s="1"/>
  <c r="K64" i="1"/>
  <c r="N63" i="1"/>
  <c r="P63" i="1" s="1"/>
  <c r="K63" i="1"/>
  <c r="N62" i="1"/>
  <c r="P62" i="1" s="1"/>
  <c r="K62" i="1"/>
  <c r="P61" i="1"/>
  <c r="N61" i="1"/>
  <c r="K61" i="1"/>
  <c r="P60" i="1"/>
  <c r="N60" i="1"/>
  <c r="K60" i="1"/>
  <c r="N59" i="1"/>
  <c r="P59" i="1" s="1"/>
  <c r="K59" i="1"/>
  <c r="N58" i="1"/>
  <c r="P58" i="1" s="1"/>
  <c r="K58" i="1"/>
  <c r="N57" i="1"/>
  <c r="P57" i="1" s="1"/>
  <c r="K57" i="1"/>
  <c r="N56" i="1"/>
  <c r="P56" i="1" s="1"/>
  <c r="K56" i="1"/>
  <c r="N55" i="1"/>
  <c r="P55" i="1" s="1"/>
  <c r="K55" i="1"/>
  <c r="P54" i="1"/>
  <c r="N54" i="1"/>
  <c r="K54" i="1"/>
  <c r="N53" i="1"/>
  <c r="P53" i="1" s="1"/>
  <c r="K53" i="1"/>
  <c r="P52" i="1"/>
  <c r="N52" i="1"/>
  <c r="K52" i="1"/>
  <c r="N51" i="1"/>
  <c r="P51" i="1" s="1"/>
  <c r="K51" i="1"/>
  <c r="N50" i="1"/>
  <c r="P50" i="1" s="1"/>
  <c r="K50" i="1"/>
  <c r="N49" i="1"/>
  <c r="P49" i="1" s="1"/>
  <c r="K49" i="1"/>
  <c r="P48" i="1"/>
  <c r="N48" i="1"/>
  <c r="K48" i="1"/>
  <c r="N47" i="1"/>
  <c r="P47" i="1" s="1"/>
  <c r="K47" i="1"/>
  <c r="N46" i="1"/>
  <c r="P46" i="1" s="1"/>
  <c r="K46" i="1"/>
  <c r="P45" i="1"/>
  <c r="N45" i="1"/>
  <c r="K45" i="1"/>
  <c r="N44" i="1"/>
  <c r="P44" i="1" s="1"/>
  <c r="K44" i="1"/>
  <c r="N43" i="1"/>
  <c r="P43" i="1" s="1"/>
  <c r="K43" i="1"/>
  <c r="N42" i="1"/>
  <c r="P42" i="1" s="1"/>
  <c r="K42" i="1"/>
  <c r="N41" i="1"/>
  <c r="P41" i="1" s="1"/>
  <c r="K41" i="1"/>
  <c r="N40" i="1"/>
  <c r="P40" i="1" s="1"/>
  <c r="K40" i="1"/>
  <c r="N39" i="1"/>
  <c r="P39" i="1" s="1"/>
  <c r="K39" i="1"/>
  <c r="N38" i="1"/>
  <c r="P38" i="1" s="1"/>
  <c r="K38" i="1"/>
  <c r="N37" i="1"/>
  <c r="P37" i="1" s="1"/>
  <c r="K37" i="1"/>
  <c r="P36" i="1"/>
  <c r="N36" i="1"/>
  <c r="K36" i="1"/>
  <c r="N35" i="1"/>
  <c r="P35" i="1" s="1"/>
  <c r="K35" i="1"/>
  <c r="N34" i="1"/>
  <c r="P34" i="1" s="1"/>
  <c r="K34" i="1"/>
  <c r="N33" i="1"/>
  <c r="P33" i="1" s="1"/>
  <c r="K33" i="1"/>
  <c r="N32" i="1"/>
  <c r="P32" i="1" s="1"/>
  <c r="K32" i="1"/>
  <c r="P31" i="1"/>
  <c r="N31" i="1"/>
  <c r="K31" i="1"/>
  <c r="N30" i="1"/>
  <c r="P30" i="1" s="1"/>
  <c r="K30" i="1"/>
  <c r="P29" i="1"/>
  <c r="N29" i="1"/>
  <c r="K29" i="1"/>
  <c r="N28" i="1"/>
  <c r="P28" i="1" s="1"/>
  <c r="K28" i="1"/>
  <c r="N27" i="1"/>
  <c r="P27" i="1" s="1"/>
  <c r="K27" i="1"/>
  <c r="N26" i="1"/>
  <c r="P26" i="1" s="1"/>
  <c r="K26" i="1"/>
  <c r="N25" i="1"/>
  <c r="P25" i="1" s="1"/>
  <c r="K25" i="1"/>
  <c r="N24" i="1"/>
  <c r="P24" i="1" s="1"/>
  <c r="K24" i="1"/>
  <c r="N23" i="1"/>
  <c r="P23" i="1" s="1"/>
  <c r="K23" i="1"/>
  <c r="N22" i="1"/>
  <c r="P22" i="1" s="1"/>
  <c r="K22" i="1"/>
  <c r="N21" i="1"/>
  <c r="P21" i="1" s="1"/>
  <c r="K21" i="1"/>
  <c r="P20" i="1"/>
  <c r="N20" i="1"/>
  <c r="K20" i="1"/>
  <c r="P19" i="1"/>
  <c r="N19" i="1"/>
  <c r="K19" i="1"/>
  <c r="N18" i="1"/>
  <c r="P18" i="1" s="1"/>
  <c r="K18" i="1"/>
  <c r="N17" i="1"/>
  <c r="P17" i="1" s="1"/>
  <c r="K17" i="1"/>
  <c r="N16" i="1"/>
  <c r="P16" i="1" s="1"/>
  <c r="K16" i="1"/>
  <c r="N15" i="1"/>
  <c r="P15" i="1" s="1"/>
  <c r="K15" i="1"/>
  <c r="N14" i="1"/>
  <c r="P14" i="1" s="1"/>
  <c r="K14" i="1"/>
  <c r="P13" i="1"/>
  <c r="N13" i="1"/>
  <c r="K13" i="1"/>
  <c r="N12" i="1"/>
  <c r="P12" i="1" s="1"/>
  <c r="K12" i="1"/>
  <c r="N11" i="1"/>
  <c r="P11" i="1" s="1"/>
  <c r="K11" i="1"/>
  <c r="N10" i="1"/>
  <c r="P10" i="1" s="1"/>
  <c r="K10" i="1"/>
  <c r="N9" i="1"/>
  <c r="P9" i="1" s="1"/>
  <c r="K9" i="1"/>
  <c r="N8" i="1"/>
  <c r="P8" i="1" s="1"/>
  <c r="K8" i="1"/>
  <c r="N7" i="1"/>
  <c r="P7" i="1" s="1"/>
  <c r="K7" i="1"/>
  <c r="N6" i="1"/>
  <c r="P6" i="1" s="1"/>
  <c r="K6" i="1"/>
  <c r="N5" i="1"/>
  <c r="P5" i="1" s="1"/>
  <c r="K5" i="1"/>
  <c r="P4" i="1"/>
  <c r="N4" i="1"/>
  <c r="K4" i="1"/>
  <c r="N3" i="1"/>
  <c r="P3" i="1" s="1"/>
  <c r="K3" i="1"/>
  <c r="N2" i="1"/>
  <c r="P2" i="1" s="1"/>
  <c r="K2" i="1"/>
  <c r="B7" i="3" l="1"/>
</calcChain>
</file>

<file path=xl/sharedStrings.xml><?xml version="1.0" encoding="utf-8"?>
<sst xmlns="http://schemas.openxmlformats.org/spreadsheetml/2006/main" count="6116" uniqueCount="2904">
  <si>
    <t>Road_ID</t>
  </si>
  <si>
    <t>State_Name</t>
  </si>
  <si>
    <t>Road_Name</t>
  </si>
  <si>
    <t>Road_Type</t>
  </si>
  <si>
    <t>Route_Start_Location</t>
  </si>
  <si>
    <t>Route_End_Location</t>
  </si>
  <si>
    <t>Major_Cities_Covered</t>
  </si>
  <si>
    <t>Districts_Covered</t>
  </si>
  <si>
    <t>Region</t>
  </si>
  <si>
    <t>Total_Distance_km</t>
  </si>
  <si>
    <t>Estimated_Travel_Time_hours</t>
  </si>
  <si>
    <t>Average_Truck_Speed_kmph</t>
  </si>
  <si>
    <t>Fuel_Efficiency_km_per_litre</t>
  </si>
  <si>
    <t>Total_Fuel_Consumption_litres</t>
  </si>
  <si>
    <t>Fuel_Price_per_Litre</t>
  </si>
  <si>
    <t>Total_Fuel_Cost_INR</t>
  </si>
  <si>
    <t>Road_Condition</t>
  </si>
  <si>
    <t>Toll_Applicable</t>
  </si>
  <si>
    <t>Category_Alphabetical_Index</t>
  </si>
  <si>
    <t>RD0001</t>
  </si>
  <si>
    <t>Andhra Pradesh</t>
  </si>
  <si>
    <t>AP SH-1 Kurnool–Anantapur</t>
  </si>
  <si>
    <t>State Highway</t>
  </si>
  <si>
    <t>Kurnool</t>
  </si>
  <si>
    <t>Anantapur</t>
  </si>
  <si>
    <t>Kurnool, Anantapur</t>
  </si>
  <si>
    <t>Rayalaseema</t>
  </si>
  <si>
    <t>Moderate</t>
  </si>
  <si>
    <t>No</t>
  </si>
  <si>
    <t>A</t>
  </si>
  <si>
    <t>RD0002</t>
  </si>
  <si>
    <t>AP SH-43 Nellore–Tirupati</t>
  </si>
  <si>
    <t>Nellore</t>
  </si>
  <si>
    <t>Tirupati</t>
  </si>
  <si>
    <t>Nellore, Gudur, Tirupati</t>
  </si>
  <si>
    <t>Nellore, Chittoor</t>
  </si>
  <si>
    <t>South AP</t>
  </si>
  <si>
    <t>Good</t>
  </si>
  <si>
    <t>RD0003</t>
  </si>
  <si>
    <t>AP SH-9 Tirupati–Chittoor</t>
  </si>
  <si>
    <t>Chittoor</t>
  </si>
  <si>
    <t>Tirupati, Chittoor</t>
  </si>
  <si>
    <t>Chittoor Region</t>
  </si>
  <si>
    <t>RD0004</t>
  </si>
  <si>
    <t>AP Urban Road – Vijayawada City</t>
  </si>
  <si>
    <t>Urban Road</t>
  </si>
  <si>
    <t>Benz Circle</t>
  </si>
  <si>
    <t>Krishnalanka</t>
  </si>
  <si>
    <t>Vijayawada</t>
  </si>
  <si>
    <t>Krishna</t>
  </si>
  <si>
    <t>Krishna Urban</t>
  </si>
  <si>
    <t>RD0005</t>
  </si>
  <si>
    <t>AP Urban Road – Visakhapatnam Beach Road</t>
  </si>
  <si>
    <t>Rushikonda</t>
  </si>
  <si>
    <t>RK Beach</t>
  </si>
  <si>
    <t>Visakhapatnam</t>
  </si>
  <si>
    <t>Visakhapatnam Urban</t>
  </si>
  <si>
    <t>RD0006</t>
  </si>
  <si>
    <t>AP Village Road – Rayalaseema Hamlets</t>
  </si>
  <si>
    <t>Village Road</t>
  </si>
  <si>
    <t>Kadapa</t>
  </si>
  <si>
    <t>Proddatur</t>
  </si>
  <si>
    <t>Kadapa, Proddatur</t>
  </si>
  <si>
    <t>YSR Kadapa</t>
  </si>
  <si>
    <t>Poor</t>
  </si>
  <si>
    <t>RD0007</t>
  </si>
  <si>
    <t>MDR – Guntur–Narasaraopet</t>
  </si>
  <si>
    <t>Major District Road</t>
  </si>
  <si>
    <t>Guntur</t>
  </si>
  <si>
    <t>Narasaraopet</t>
  </si>
  <si>
    <t>Guntur, Narasaraopet</t>
  </si>
  <si>
    <t>Central AP</t>
  </si>
  <si>
    <t>M</t>
  </si>
  <si>
    <t>RD0008</t>
  </si>
  <si>
    <t>MDR – Srikakulam–Palasa</t>
  </si>
  <si>
    <t>Srikakulam</t>
  </si>
  <si>
    <t>Palasa</t>
  </si>
  <si>
    <t>Srikakulam, Palasa</t>
  </si>
  <si>
    <t>North Coastal AP</t>
  </si>
  <si>
    <t>RD0009</t>
  </si>
  <si>
    <t>NH-16 Vijayawada–Visakhapatnam</t>
  </si>
  <si>
    <t>National Highway</t>
  </si>
  <si>
    <t>Vijayawada, Eluru, Rajahmundry, Visakhapatnam</t>
  </si>
  <si>
    <t>Krishna, W Godavari, E Godavari, Visakhapatnam</t>
  </si>
  <si>
    <t>Coastal Andhra</t>
  </si>
  <si>
    <t>Yes</t>
  </si>
  <si>
    <t>N</t>
  </si>
  <si>
    <t>RD0010</t>
  </si>
  <si>
    <t>NH-16 Visakhapatnam–Srikakulam</t>
  </si>
  <si>
    <t>Visakhapatnam, Vizianagaram, Srikakulam</t>
  </si>
  <si>
    <t>RD0011</t>
  </si>
  <si>
    <t>NH-40 Jagdalpur–Vizianagaram</t>
  </si>
  <si>
    <t>Jagdalpur</t>
  </si>
  <si>
    <t>Vizianagaram</t>
  </si>
  <si>
    <t>Jeypore, Vizianagaram</t>
  </si>
  <si>
    <t>Koraput, Vizianagaram</t>
  </si>
  <si>
    <t>North AP–Odisha</t>
  </si>
  <si>
    <t>RD0012</t>
  </si>
  <si>
    <t>NH-44 Kurnool–Anantapur–Bengaluru</t>
  </si>
  <si>
    <t>Bengaluru border</t>
  </si>
  <si>
    <t>Kurnool, Anantapur, Hindupur</t>
  </si>
  <si>
    <t>Rayalaseema NH</t>
  </si>
  <si>
    <t>RD0013</t>
  </si>
  <si>
    <t>NH-516E Amaravati–Guntur</t>
  </si>
  <si>
    <t>Amaravati</t>
  </si>
  <si>
    <t>Amaravati, Guntur</t>
  </si>
  <si>
    <t>Capital Region</t>
  </si>
  <si>
    <t>RD0014</t>
  </si>
  <si>
    <t>NH-65 Hyderabad–Vijayawada</t>
  </si>
  <si>
    <t>Hyderabad border</t>
  </si>
  <si>
    <t>Nalgonda, Miryalaguda, Vijayawada</t>
  </si>
  <si>
    <t>Nalgonda, Krishna</t>
  </si>
  <si>
    <t>Telangana–AP Border</t>
  </si>
  <si>
    <t>RD0015</t>
  </si>
  <si>
    <t>NH-67 Nagpur–Hyderabad–Nellore</t>
  </si>
  <si>
    <t>Ongole</t>
  </si>
  <si>
    <t>Ongole, Kavali, Nellore</t>
  </si>
  <si>
    <t>Prakasam, Nellore</t>
  </si>
  <si>
    <t>South Coastal AP</t>
  </si>
  <si>
    <t>RD0016</t>
  </si>
  <si>
    <t>SH-21 Vishakhapatnam–Araku Valley</t>
  </si>
  <si>
    <t>Araku</t>
  </si>
  <si>
    <t>Visakhapatnam, Araku</t>
  </si>
  <si>
    <t>Visakhapatnam, Alluri Sitarama Raju</t>
  </si>
  <si>
    <t>Eastern Ghats</t>
  </si>
  <si>
    <t>S</t>
  </si>
  <si>
    <t>RD0017</t>
  </si>
  <si>
    <t>SH-5 Kakinada–Rajahmundry</t>
  </si>
  <si>
    <t>Kakinada</t>
  </si>
  <si>
    <t>Rajahmundry</t>
  </si>
  <si>
    <t>Kakinada, Rajahmundry</t>
  </si>
  <si>
    <t>East Godavari</t>
  </si>
  <si>
    <t>Godavari Delta</t>
  </si>
  <si>
    <t>RD0018</t>
  </si>
  <si>
    <t>Village Road – Godavari Delta Farm Roads</t>
  </si>
  <si>
    <t>Amalapuram</t>
  </si>
  <si>
    <t>Razole</t>
  </si>
  <si>
    <t>Amalapuram, Razole</t>
  </si>
  <si>
    <t>V</t>
  </si>
  <si>
    <t>RD0019</t>
  </si>
  <si>
    <t>Village Road – Srikakulam Tribal Connectivity</t>
  </si>
  <si>
    <t>Palakonda</t>
  </si>
  <si>
    <t>Seethampeta</t>
  </si>
  <si>
    <t>Palakonda, Seethampeta</t>
  </si>
  <si>
    <t>Tribal AP</t>
  </si>
  <si>
    <t>RD0020</t>
  </si>
  <si>
    <t>Visakhapatnam Port Access Road</t>
  </si>
  <si>
    <t>Visakhapatnam Port</t>
  </si>
  <si>
    <t>Simhachalam</t>
  </si>
  <si>
    <t>Port Connectivity</t>
  </si>
  <si>
    <t>RD0021</t>
  </si>
  <si>
    <t>Arunachal Pradesh</t>
  </si>
  <si>
    <t>AP Urban Road – Itanagar City</t>
  </si>
  <si>
    <t>Naharlagun</t>
  </si>
  <si>
    <t>Nirjuli</t>
  </si>
  <si>
    <t>Itanagar, Naharlagun</t>
  </si>
  <si>
    <t>Papum Pare</t>
  </si>
  <si>
    <t>RD0022</t>
  </si>
  <si>
    <t>MDR – Tezu–Wakro</t>
  </si>
  <si>
    <t>Tezu</t>
  </si>
  <si>
    <t>Wakro</t>
  </si>
  <si>
    <t>Tezu, Wakro</t>
  </si>
  <si>
    <t>Lohit</t>
  </si>
  <si>
    <t>East Arunachal</t>
  </si>
  <si>
    <t>RD0023</t>
  </si>
  <si>
    <t>MDR – Ziro–Hapoli</t>
  </si>
  <si>
    <t>Ziro</t>
  </si>
  <si>
    <t>Hapoli</t>
  </si>
  <si>
    <t>Ziro, Hapoli</t>
  </si>
  <si>
    <t>Lower Subansiri</t>
  </si>
  <si>
    <t>Central Arunachal</t>
  </si>
  <si>
    <t>RD0024</t>
  </si>
  <si>
    <t>NH-13 Itanagar–Pasighat</t>
  </si>
  <si>
    <t>Itanagar</t>
  </si>
  <si>
    <t>Pasighat</t>
  </si>
  <si>
    <t>Itanagar, Along, Pasighat</t>
  </si>
  <si>
    <t>Papum Pare, West Siang, East Siang</t>
  </si>
  <si>
    <t>Eastern AP</t>
  </si>
  <si>
    <t>RD0025</t>
  </si>
  <si>
    <t>NH-229 Banderdewa–Tawang</t>
  </si>
  <si>
    <t>Banderdewa</t>
  </si>
  <si>
    <t>Tawang</t>
  </si>
  <si>
    <t>Bhalukpong, Bomdila, Dirang, Tawang</t>
  </si>
  <si>
    <t>Papum Pare, W Kameng, Tawang</t>
  </si>
  <si>
    <t>Western AP</t>
  </si>
  <si>
    <t>RD0026</t>
  </si>
  <si>
    <t>NH-313 Likabali–Tuting</t>
  </si>
  <si>
    <t>Likabali</t>
  </si>
  <si>
    <t>Tuting</t>
  </si>
  <si>
    <t>Yingkiong, Tuting</t>
  </si>
  <si>
    <t>Upper Siang</t>
  </si>
  <si>
    <t>Upper Siang Valley</t>
  </si>
  <si>
    <t>RD0027</t>
  </si>
  <si>
    <t>NH-415 Banderdewa–Namsai</t>
  </si>
  <si>
    <t>Namsai</t>
  </si>
  <si>
    <t>Banderdewa, Dibrugarh cross, Namsai</t>
  </si>
  <si>
    <t>Papum Pare, Namsai</t>
  </si>
  <si>
    <t>Lohit Valley</t>
  </si>
  <si>
    <t>RD0028</t>
  </si>
  <si>
    <t>SH-1 Ziro–Along</t>
  </si>
  <si>
    <t>Along</t>
  </si>
  <si>
    <t>Ziro, Along</t>
  </si>
  <si>
    <t>Lower Subansiri, West Siang</t>
  </si>
  <si>
    <t>RD0029</t>
  </si>
  <si>
    <t>SH-12 Khonsa–Nampong</t>
  </si>
  <si>
    <t>Khonsa</t>
  </si>
  <si>
    <t>Nampong</t>
  </si>
  <si>
    <t>Khonsa, Changlang, Nampong</t>
  </si>
  <si>
    <t>Tirap, Changlang</t>
  </si>
  <si>
    <t>Southeast AP</t>
  </si>
  <si>
    <t>RD0030</t>
  </si>
  <si>
    <t>SH-3 Seppa–Pakke Kessang</t>
  </si>
  <si>
    <t>Seppa</t>
  </si>
  <si>
    <t>Pakke</t>
  </si>
  <si>
    <t>Seppa, Pakke</t>
  </si>
  <si>
    <t>East Kameng</t>
  </si>
  <si>
    <t>Kameng Region</t>
  </si>
  <si>
    <t>RD0031</t>
  </si>
  <si>
    <t>Trans-Arunachal Highway (NH-13 segment)</t>
  </si>
  <si>
    <t>Tawang, Bomdila, Itanagar, Pasighat, Tezu</t>
  </si>
  <si>
    <t>All districts</t>
  </si>
  <si>
    <t>Pan Arunachal</t>
  </si>
  <si>
    <t>T</t>
  </si>
  <si>
    <t>RD0032</t>
  </si>
  <si>
    <t>Village Road – Anjaw District</t>
  </si>
  <si>
    <t>Hawai</t>
  </si>
  <si>
    <t>Kibithoo</t>
  </si>
  <si>
    <t>Hawai, Kibithoo</t>
  </si>
  <si>
    <t>Anjaw</t>
  </si>
  <si>
    <t>Northeast AP</t>
  </si>
  <si>
    <t>RD0033</t>
  </si>
  <si>
    <t>Village Road – Longding District</t>
  </si>
  <si>
    <t>Longding</t>
  </si>
  <si>
    <t>Pongchau</t>
  </si>
  <si>
    <t>Longding, Pongchau</t>
  </si>
  <si>
    <t>RD0034</t>
  </si>
  <si>
    <t>Village Road – Lower Dibang Valley</t>
  </si>
  <si>
    <t>Roing</t>
  </si>
  <si>
    <t>Dambuk</t>
  </si>
  <si>
    <t>Roing, Dambuk</t>
  </si>
  <si>
    <t>Lower Dibang Valley</t>
  </si>
  <si>
    <t>Dibang Valley</t>
  </si>
  <si>
    <t>RD0035</t>
  </si>
  <si>
    <t>Village Road – Tawang Border Road</t>
  </si>
  <si>
    <t>Zemithang</t>
  </si>
  <si>
    <t>Tawang, Zemithang</t>
  </si>
  <si>
    <t>Western Frontier</t>
  </si>
  <si>
    <t>RD0036</t>
  </si>
  <si>
    <t>Village Road – Upper Subansiri Hamlets</t>
  </si>
  <si>
    <t>Daporijo</t>
  </si>
  <si>
    <t>Siyum</t>
  </si>
  <si>
    <t>Daporijo, Siyum</t>
  </si>
  <si>
    <t>Upper Subansiri</t>
  </si>
  <si>
    <t>Central AP Highlands</t>
  </si>
  <si>
    <t>RD0037</t>
  </si>
  <si>
    <t>Assam</t>
  </si>
  <si>
    <t>Assam Urban Road – Dibrugarh City</t>
  </si>
  <si>
    <t>AT Road</t>
  </si>
  <si>
    <t>Lahoal</t>
  </si>
  <si>
    <t>Dibrugarh</t>
  </si>
  <si>
    <t>Dibrugarh Urban</t>
  </si>
  <si>
    <t>RD0038</t>
  </si>
  <si>
    <t>Assam Urban Road – Guwahati Ring Road</t>
  </si>
  <si>
    <t>Jalukbari</t>
  </si>
  <si>
    <t>Chandmari</t>
  </si>
  <si>
    <t>Guwahati</t>
  </si>
  <si>
    <t>Kamrup Metro</t>
  </si>
  <si>
    <t>Guwahati Urban</t>
  </si>
  <si>
    <t>RD0039</t>
  </si>
  <si>
    <t>Assam Urban Road – Silchar City</t>
  </si>
  <si>
    <t>Silchar Central</t>
  </si>
  <si>
    <t>Tarapur</t>
  </si>
  <si>
    <t>Silchar</t>
  </si>
  <si>
    <t>Cachar</t>
  </si>
  <si>
    <t>Silchar Urban</t>
  </si>
  <si>
    <t>RD0040</t>
  </si>
  <si>
    <t>MDR – Nagaon–Hojai</t>
  </si>
  <si>
    <t>Nagaon</t>
  </si>
  <si>
    <t>Hojai</t>
  </si>
  <si>
    <t>Nagaon, Hojai</t>
  </si>
  <si>
    <t>Central Assam</t>
  </si>
  <si>
    <t>RD0041</t>
  </si>
  <si>
    <t>MDR – Tezpur–Bihali</t>
  </si>
  <si>
    <t>Tezpur</t>
  </si>
  <si>
    <t>Bihali</t>
  </si>
  <si>
    <t>Tezpur, Bihali</t>
  </si>
  <si>
    <t>Sonitpur</t>
  </si>
  <si>
    <t>Upper Assam</t>
  </si>
  <si>
    <t>RD0042</t>
  </si>
  <si>
    <t>NH-15 Baihata–Dolabarl</t>
  </si>
  <si>
    <t>Baihata</t>
  </si>
  <si>
    <t>Dolabarı</t>
  </si>
  <si>
    <t>Rangia, Nalbari</t>
  </si>
  <si>
    <t>Kamrup, Nalbari</t>
  </si>
  <si>
    <t>Lower Assam</t>
  </si>
  <si>
    <t>RD0043</t>
  </si>
  <si>
    <t>NH-17 Guwahati–Dhubri</t>
  </si>
  <si>
    <t>Dhubri</t>
  </si>
  <si>
    <t>Guwahati, Bongaigaon, Dhubri</t>
  </si>
  <si>
    <t>Kamrup, Bongaigaon, Dhubri</t>
  </si>
  <si>
    <t>West Assam</t>
  </si>
  <si>
    <t>RD0044</t>
  </si>
  <si>
    <t>NH-27 Assam–East-West Corridor</t>
  </si>
  <si>
    <t>Dhubri, Guwahati, Nagaon, Jorhat, Dibrugarh</t>
  </si>
  <si>
    <t>Dhubri, Kamrup, Nagaon, Jorhat, Dibrugarh</t>
  </si>
  <si>
    <t>Brahmaputra Valley</t>
  </si>
  <si>
    <t>RD0045</t>
  </si>
  <si>
    <t>NH-37 Numaligarh–Tinsukia</t>
  </si>
  <si>
    <t>Numaligarh</t>
  </si>
  <si>
    <t>Tinsukia</t>
  </si>
  <si>
    <t>Numaligarh, Sibsagar, Dibrugarh, Tinsukia</t>
  </si>
  <si>
    <t>Golaghat, Sivasagar, Dibrugarh</t>
  </si>
  <si>
    <t>RD0046</t>
  </si>
  <si>
    <t>NH-37A Jorhat–Majuli</t>
  </si>
  <si>
    <t>Jorhat</t>
  </si>
  <si>
    <t>Majuli</t>
  </si>
  <si>
    <t>Jorhat, Majuli Island</t>
  </si>
  <si>
    <t>Jorhat, Majuli</t>
  </si>
  <si>
    <t>Brahmaputra Island</t>
  </si>
  <si>
    <t>RD0047</t>
  </si>
  <si>
    <t>NH-62 Tezpur–Bhalukpong</t>
  </si>
  <si>
    <t>Bhalukpong</t>
  </si>
  <si>
    <t>Tezpur, Bhalukpong</t>
  </si>
  <si>
    <t>Sonitpur, Biswanath</t>
  </si>
  <si>
    <t>Arunachal Gateway</t>
  </si>
  <si>
    <t>RD0048</t>
  </si>
  <si>
    <t>NH-715 Silchar–Jiribam</t>
  </si>
  <si>
    <t>Jiribam</t>
  </si>
  <si>
    <t>Silchar, Jiribam</t>
  </si>
  <si>
    <t>Cachar, Hailakandi</t>
  </si>
  <si>
    <t>Barak Valley</t>
  </si>
  <si>
    <t>RD0049</t>
  </si>
  <si>
    <t>SH-2 Guwahati–Bongaigaon</t>
  </si>
  <si>
    <t>Bongaigaon</t>
  </si>
  <si>
    <t>Guwahati, Nalbari, Bongaigaon</t>
  </si>
  <si>
    <t>Kamrup, Nalbari, Bongaigaon</t>
  </si>
  <si>
    <t>RD0050</t>
  </si>
  <si>
    <t>SH-4 Dimapur–Kohima Road (Assam side)</t>
  </si>
  <si>
    <t>Dimapur border</t>
  </si>
  <si>
    <t>Dimapur cross, Nagaon</t>
  </si>
  <si>
    <t>RD0051</t>
  </si>
  <si>
    <t>SH-9 Tezpur–Orang</t>
  </si>
  <si>
    <t>Orang</t>
  </si>
  <si>
    <t>Tezpur, Orang</t>
  </si>
  <si>
    <t>Sonitpur, Darrang</t>
  </si>
  <si>
    <t>RD0052</t>
  </si>
  <si>
    <t>Village Road – Barak Valley Rural</t>
  </si>
  <si>
    <t>Hailakandi</t>
  </si>
  <si>
    <t>Lakhipur</t>
  </si>
  <si>
    <t>Hailakandi, Lakhipur</t>
  </si>
  <si>
    <t>RD0053</t>
  </si>
  <si>
    <t>Village Road – Char Areas Morigaon</t>
  </si>
  <si>
    <t>Morigaon</t>
  </si>
  <si>
    <t>Laharighat</t>
  </si>
  <si>
    <t>Morigaon, Laharighat</t>
  </si>
  <si>
    <t>Brahmaputra Char</t>
  </si>
  <si>
    <t>RD0054</t>
  </si>
  <si>
    <t>Village Road – North Cachar Hills</t>
  </si>
  <si>
    <t>Haflong</t>
  </si>
  <si>
    <t>Mahur</t>
  </si>
  <si>
    <t>Haflong, Mahur</t>
  </si>
  <si>
    <t>Dima Hasao</t>
  </si>
  <si>
    <t>Hill District</t>
  </si>
  <si>
    <t>RD0055</t>
  </si>
  <si>
    <t>Bihar</t>
  </si>
  <si>
    <t>Bihar Urban Road – Gaya City</t>
  </si>
  <si>
    <t>Gaya Junction</t>
  </si>
  <si>
    <t>Bodh Gaya Road</t>
  </si>
  <si>
    <t>Gaya</t>
  </si>
  <si>
    <t>Gaya Urban</t>
  </si>
  <si>
    <t>B</t>
  </si>
  <si>
    <t>RD0056</t>
  </si>
  <si>
    <t>Bihar Urban Road – Muzaffarpur City</t>
  </si>
  <si>
    <t>Mithanpura</t>
  </si>
  <si>
    <t>Juran Chapra</t>
  </si>
  <si>
    <t>Muzaffarpur</t>
  </si>
  <si>
    <t>Muzaffarpur Urban</t>
  </si>
  <si>
    <t>RD0057</t>
  </si>
  <si>
    <t>Bihar Urban Road – Patna Bailey Road</t>
  </si>
  <si>
    <t>Gandhi Maidan</t>
  </si>
  <si>
    <t>Danapur</t>
  </si>
  <si>
    <t>Patna</t>
  </si>
  <si>
    <t>Patna Urban</t>
  </si>
  <si>
    <t>RD0058</t>
  </si>
  <si>
    <t>MDR – Araria–Forbesganj</t>
  </si>
  <si>
    <t>Araria</t>
  </si>
  <si>
    <t>Forbesganj</t>
  </si>
  <si>
    <t>Araria, Forbesganj</t>
  </si>
  <si>
    <t>Northeast Bihar</t>
  </si>
  <si>
    <t>RD0059</t>
  </si>
  <si>
    <t>MDR – Hajipur–Vaishali</t>
  </si>
  <si>
    <t>Hajipur</t>
  </si>
  <si>
    <t>Vaishali</t>
  </si>
  <si>
    <t>Hajipur, Vaishali</t>
  </si>
  <si>
    <t>North Bihar</t>
  </si>
  <si>
    <t>RD0060</t>
  </si>
  <si>
    <t>MDR – Sasaram–Rohtas</t>
  </si>
  <si>
    <t>Sasaram</t>
  </si>
  <si>
    <t>Rohtas</t>
  </si>
  <si>
    <t>Sasaram, Rohtas</t>
  </si>
  <si>
    <t>South Bihar</t>
  </si>
  <si>
    <t>RD0061</t>
  </si>
  <si>
    <t>NH-104 Darbhanga–Sitamarhi</t>
  </si>
  <si>
    <t>Darbhanga</t>
  </si>
  <si>
    <t>Sitamarhi</t>
  </si>
  <si>
    <t>Darbhanga, Sitamarhi</t>
  </si>
  <si>
    <t>RD0062</t>
  </si>
  <si>
    <t>NH-19 Patna–Varanasi</t>
  </si>
  <si>
    <t>Varanasi border</t>
  </si>
  <si>
    <t>Patna, Arrah, Buxar</t>
  </si>
  <si>
    <t>Patna, Bhojpur, Buxar</t>
  </si>
  <si>
    <t>West Bihar</t>
  </si>
  <si>
    <t>RD0063</t>
  </si>
  <si>
    <t>NH-28 Muzaffarpur–Barauni</t>
  </si>
  <si>
    <t>Barauni</t>
  </si>
  <si>
    <t>Muzaffarpur, Sitamarhi, Barauni</t>
  </si>
  <si>
    <t>Muzaffarpur, Begusarai</t>
  </si>
  <si>
    <t>RD0064</t>
  </si>
  <si>
    <t>NH-30A Patna–Bodh Gaya–Rafiganj</t>
  </si>
  <si>
    <t>Rafiganj</t>
  </si>
  <si>
    <t>Patna, Bodh Gaya, Gaya, Aurangabad</t>
  </si>
  <si>
    <t>Patna, Gaya, Aurangabad</t>
  </si>
  <si>
    <t>RD0065</t>
  </si>
  <si>
    <t>NH-31 Patna–Kishanganj</t>
  </si>
  <si>
    <t>Kishanganj</t>
  </si>
  <si>
    <t>Patna, Muzaffarpur, Darbhanga, Kishanganj</t>
  </si>
  <si>
    <t>Patna, Muzaffarpur, Madhubani, Kishanganj</t>
  </si>
  <si>
    <t>RD0066</t>
  </si>
  <si>
    <t>NH-33 Barhi–Rajmahal</t>
  </si>
  <si>
    <t>Barhi</t>
  </si>
  <si>
    <t>Rajmahal border</t>
  </si>
  <si>
    <t>Barhi, Jamui, Munger, Bhagalpur</t>
  </si>
  <si>
    <t>Hazaribagh, Jamui, Bhagalpur</t>
  </si>
  <si>
    <t>East Bihar</t>
  </si>
  <si>
    <t>RD0067</t>
  </si>
  <si>
    <t>NH-57 Muzaffarpur–Purnea</t>
  </si>
  <si>
    <t>Purnea</t>
  </si>
  <si>
    <t>Muzaffarpur, Darbhanga, Saharsa, Purnea</t>
  </si>
  <si>
    <t>Mithila Belt</t>
  </si>
  <si>
    <t>RD0068</t>
  </si>
  <si>
    <t>NH-83 Patna–Gaya–Dobhi</t>
  </si>
  <si>
    <t>Dobhi</t>
  </si>
  <si>
    <t>Patna, Jehanabad, Gaya</t>
  </si>
  <si>
    <t>RD0069</t>
  </si>
  <si>
    <t>SH-1 Patna–Bodh Gaya (Express)</t>
  </si>
  <si>
    <t>Bodh Gaya</t>
  </si>
  <si>
    <t>Patna, Jehanabad, Bodh Gaya</t>
  </si>
  <si>
    <t>RD0070</t>
  </si>
  <si>
    <t>SH-72 Bhagalpur–Banka</t>
  </si>
  <si>
    <t>Bhagalpur</t>
  </si>
  <si>
    <t>Banka</t>
  </si>
  <si>
    <t>Bhagalpur, Banka</t>
  </si>
  <si>
    <t>RD0071</t>
  </si>
  <si>
    <t>Village Road – Champaran Villages</t>
  </si>
  <si>
    <t>Motihari</t>
  </si>
  <si>
    <t>Bettiah</t>
  </si>
  <si>
    <t>Motihari, Bettiah</t>
  </si>
  <si>
    <t>E Champaran, W Champaran</t>
  </si>
  <si>
    <t>RD0072</t>
  </si>
  <si>
    <t>Village Road – Kosi Flood Plain</t>
  </si>
  <si>
    <t>Supaul</t>
  </si>
  <si>
    <t>Madhepura</t>
  </si>
  <si>
    <t>Supaul, Madhepura</t>
  </si>
  <si>
    <t>Kosi Region</t>
  </si>
  <si>
    <t>RD0073</t>
  </si>
  <si>
    <t>Village Road – Seemanchal Rural</t>
  </si>
  <si>
    <t>Kishanganj, Araria</t>
  </si>
  <si>
    <t>Seemanchal</t>
  </si>
  <si>
    <t>RD0074</t>
  </si>
  <si>
    <t>Chhattisgarh</t>
  </si>
  <si>
    <t>CG Urban Road – Bilaspur City</t>
  </si>
  <si>
    <t>Torwa</t>
  </si>
  <si>
    <t>Vyapar Vihar</t>
  </si>
  <si>
    <t>Bilaspur</t>
  </si>
  <si>
    <t>Bilaspur Urban</t>
  </si>
  <si>
    <t>C</t>
  </si>
  <si>
    <t>RD0075</t>
  </si>
  <si>
    <t>CG Urban Road – Raipur Smart City</t>
  </si>
  <si>
    <t>Shankar Nagar</t>
  </si>
  <si>
    <t>Telibandha</t>
  </si>
  <si>
    <t>Raipur</t>
  </si>
  <si>
    <t>Raipur Urban</t>
  </si>
  <si>
    <t>RD0076</t>
  </si>
  <si>
    <t>MDR – Durg–Rajnandgaon</t>
  </si>
  <si>
    <t>Durg</t>
  </si>
  <si>
    <t>Rajnandgaon</t>
  </si>
  <si>
    <t>Durg, Rajnandgaon</t>
  </si>
  <si>
    <t>North CG</t>
  </si>
  <si>
    <t>RD0077</t>
  </si>
  <si>
    <t>MDR – Raigarh–Sarangarh</t>
  </si>
  <si>
    <t>Raigarh</t>
  </si>
  <si>
    <t>Sarangarh</t>
  </si>
  <si>
    <t>Raigarh, Sarangarh</t>
  </si>
  <si>
    <t>East CG</t>
  </si>
  <si>
    <t>RD0078</t>
  </si>
  <si>
    <t>NH-30 Raipur–Jagdalpur</t>
  </si>
  <si>
    <t>Raipur, Kondagaon, Jagdalpur</t>
  </si>
  <si>
    <t>Raipur, Kondagaon, Bastar</t>
  </si>
  <si>
    <t>Bastar Corridor</t>
  </si>
  <si>
    <t>RD0079</t>
  </si>
  <si>
    <t>NH-43 Jagdalpur–Vizianagaram</t>
  </si>
  <si>
    <t>Vizianagaram border</t>
  </si>
  <si>
    <t>Jagdalpur, Nabarangpur</t>
  </si>
  <si>
    <t>Bastar, Nabarangpur</t>
  </si>
  <si>
    <t>South CG</t>
  </si>
  <si>
    <t>RD0080</t>
  </si>
  <si>
    <t>NH-49 Raipur–Visakhapatnam</t>
  </si>
  <si>
    <t>Raipur, Kanker, Kondagaon, Jagdalpur</t>
  </si>
  <si>
    <t>Raipur, Kanker, Bastar</t>
  </si>
  <si>
    <t>RD0081</t>
  </si>
  <si>
    <t>NH-53 Nagpur–Sambalpur (CG Section)</t>
  </si>
  <si>
    <t>Mahasamund</t>
  </si>
  <si>
    <t>Raipur, Mahasamund</t>
  </si>
  <si>
    <t>Central CG</t>
  </si>
  <si>
    <t>RD0082</t>
  </si>
  <si>
    <t>NH-6 Mumbai–Kolkata (CG Section)</t>
  </si>
  <si>
    <t>Raipur, Bilaspur</t>
  </si>
  <si>
    <t>RD0083</t>
  </si>
  <si>
    <t>Raipur–Durg–Bhilai Industrial Corridor</t>
  </si>
  <si>
    <t>Expressway</t>
  </si>
  <si>
    <t>Bhilai</t>
  </si>
  <si>
    <t>Raipur, Durg, Bhilai</t>
  </si>
  <si>
    <t>Raipur, Durg</t>
  </si>
  <si>
    <t>Industrial Belt</t>
  </si>
  <si>
    <t>R</t>
  </si>
  <si>
    <t>RD0084</t>
  </si>
  <si>
    <t>SH-1 Bilaspur–Korba</t>
  </si>
  <si>
    <t>Korba</t>
  </si>
  <si>
    <t>Bilaspur, Korba</t>
  </si>
  <si>
    <t>Coal Belt</t>
  </si>
  <si>
    <t>RD0085</t>
  </si>
  <si>
    <t>SH-5 Bilaspur–Raigarh</t>
  </si>
  <si>
    <t>Bilaspur, Korba, Raigarh</t>
  </si>
  <si>
    <t>Northern CG</t>
  </si>
  <si>
    <t>RD0086</t>
  </si>
  <si>
    <t>SH-6 Ambikapur–Surguja</t>
  </si>
  <si>
    <t>Ambikapur</t>
  </si>
  <si>
    <t>Baikunthpur</t>
  </si>
  <si>
    <t>Ambikapur, Baikunthpur</t>
  </si>
  <si>
    <t>Surguja, Korea</t>
  </si>
  <si>
    <t>RD0087</t>
  </si>
  <si>
    <t>SH-9 Rajnandgaon–Khairagarh</t>
  </si>
  <si>
    <t>Khairagarh</t>
  </si>
  <si>
    <t>Rajnandgaon, Khairagarh</t>
  </si>
  <si>
    <t>West CG</t>
  </si>
  <si>
    <t>RD0088</t>
  </si>
  <si>
    <t>Village Road – Bastar Tribal Connectivity</t>
  </si>
  <si>
    <t>Dantewada</t>
  </si>
  <si>
    <t>Jagdalpur, Dantewada</t>
  </si>
  <si>
    <t>Bastar, Dantewada</t>
  </si>
  <si>
    <t>Bastar Region</t>
  </si>
  <si>
    <t>RD0089</t>
  </si>
  <si>
    <t>Village Road – Bijapur Remote Area</t>
  </si>
  <si>
    <t>Bijapur</t>
  </si>
  <si>
    <t>Bhairamgarh</t>
  </si>
  <si>
    <t>Bijapur, Bhairamgarh</t>
  </si>
  <si>
    <t>South Bastar</t>
  </si>
  <si>
    <t>RD0090</t>
  </si>
  <si>
    <t>Village Road – Surguja Highlands</t>
  </si>
  <si>
    <t>Mainpat</t>
  </si>
  <si>
    <t>Ambikapur, Mainpat</t>
  </si>
  <si>
    <t>Surguja</t>
  </si>
  <si>
    <t>North CG Hills</t>
  </si>
  <si>
    <t>RD0091</t>
  </si>
  <si>
    <t>Goa</t>
  </si>
  <si>
    <t>Goa MDR – Mapusa–Bicholim</t>
  </si>
  <si>
    <t>Mapusa</t>
  </si>
  <si>
    <t>Bicholim</t>
  </si>
  <si>
    <t>Mapusa, Bicholim</t>
  </si>
  <si>
    <t>North Goa</t>
  </si>
  <si>
    <t>North Goa Interior</t>
  </si>
  <si>
    <t>G</t>
  </si>
  <si>
    <t>RD0092</t>
  </si>
  <si>
    <t>Goa MDR – Ponda–Mollem</t>
  </si>
  <si>
    <t>Ponda</t>
  </si>
  <si>
    <t>Mollem</t>
  </si>
  <si>
    <t>Ponda, Mollem</t>
  </si>
  <si>
    <t>South Goa</t>
  </si>
  <si>
    <t>Wildlife Zone</t>
  </si>
  <si>
    <t>RD0093</t>
  </si>
  <si>
    <t>Goa SH-14 Margao–Colva Beach</t>
  </si>
  <si>
    <t>Margao</t>
  </si>
  <si>
    <t>Colva</t>
  </si>
  <si>
    <t>Margao, Colva</t>
  </si>
  <si>
    <t>South Goa Coast</t>
  </si>
  <si>
    <t>RD0094</t>
  </si>
  <si>
    <t>Goa SH-17 Panaji–Margao</t>
  </si>
  <si>
    <t>Panaji</t>
  </si>
  <si>
    <t>Panaji, Margao</t>
  </si>
  <si>
    <t>North Goa, South Goa</t>
  </si>
  <si>
    <t>Central Goa</t>
  </si>
  <si>
    <t>RD0095</t>
  </si>
  <si>
    <t>Goa Urban Road – Margao City</t>
  </si>
  <si>
    <t>Lohia Maidan</t>
  </si>
  <si>
    <t>Fatorda</t>
  </si>
  <si>
    <t>Margao Urban</t>
  </si>
  <si>
    <t>RD0096</t>
  </si>
  <si>
    <t>Goa Urban Road – Panaji City</t>
  </si>
  <si>
    <t>Panaji Market</t>
  </si>
  <si>
    <t>Miramar</t>
  </si>
  <si>
    <t>Panaji Urban</t>
  </si>
  <si>
    <t>RD0097</t>
  </si>
  <si>
    <t>Goa Urban Road – Vasco da Gama</t>
  </si>
  <si>
    <t>Vasco Port</t>
  </si>
  <si>
    <t>Bogmalo</t>
  </si>
  <si>
    <t>Vasco da Gama</t>
  </si>
  <si>
    <t>Vasco Urban</t>
  </si>
  <si>
    <t>RD0098</t>
  </si>
  <si>
    <t>Goa Village Road – South Goa Villages</t>
  </si>
  <si>
    <t>Quepem</t>
  </si>
  <si>
    <t>Canacona</t>
  </si>
  <si>
    <t>Quepem, Canacona</t>
  </si>
  <si>
    <t>South Goa Interior</t>
  </si>
  <si>
    <t>RD0099</t>
  </si>
  <si>
    <t>Goa–Karnataka SH Connector</t>
  </si>
  <si>
    <t>Karwar</t>
  </si>
  <si>
    <t>Canacona, Karwar border</t>
  </si>
  <si>
    <t>South Border</t>
  </si>
  <si>
    <t>RD0100</t>
  </si>
  <si>
    <t>MDR – Calangute–Anjuna</t>
  </si>
  <si>
    <t>Calangute</t>
  </si>
  <si>
    <t>Anjuna</t>
  </si>
  <si>
    <t>Calangute, Anjuna</t>
  </si>
  <si>
    <t>North Goa Beach Belt</t>
  </si>
  <si>
    <t>RD0101</t>
  </si>
  <si>
    <t>NH-4A Panaji–Belgaum</t>
  </si>
  <si>
    <t>Belgaum border</t>
  </si>
  <si>
    <t>Panaji, Ponda, Belgaum</t>
  </si>
  <si>
    <t>Goa–Karnataka</t>
  </si>
  <si>
    <t>RD0102</t>
  </si>
  <si>
    <t>NH-66 Goa Coastal Stretch</t>
  </si>
  <si>
    <t>Pernem</t>
  </si>
  <si>
    <t>Polem</t>
  </si>
  <si>
    <t>Pernem, Mapusa, Panaji, Margao, Canacona</t>
  </si>
  <si>
    <t>Coastal NH</t>
  </si>
  <si>
    <t>RD0103</t>
  </si>
  <si>
    <t>NH-748 Ponda–Belgaum</t>
  </si>
  <si>
    <t>Ponda, Mollem, Belgaum</t>
  </si>
  <si>
    <t>East Goa</t>
  </si>
  <si>
    <t>RD0104</t>
  </si>
  <si>
    <t>SH-4 Mapusa–Vagator</t>
  </si>
  <si>
    <t>Vagator</t>
  </si>
  <si>
    <t>Mapusa, Vagator</t>
  </si>
  <si>
    <t>North Goa Beach</t>
  </si>
  <si>
    <t>RD0105</t>
  </si>
  <si>
    <t>Vasco–Mormugao Port Road</t>
  </si>
  <si>
    <t>Mormugao Port</t>
  </si>
  <si>
    <t>Vasco, Mormugao</t>
  </si>
  <si>
    <t>Port Area</t>
  </si>
  <si>
    <t>RD0106</t>
  </si>
  <si>
    <t>Village Road – North Goa Hinterland</t>
  </si>
  <si>
    <t>Sattari</t>
  </si>
  <si>
    <t>Valpoi</t>
  </si>
  <si>
    <t>Sattari, Valpoi</t>
  </si>
  <si>
    <t>North Goa Rural</t>
  </si>
  <si>
    <t>RD0107</t>
  </si>
  <si>
    <t>Gujarat</t>
  </si>
  <si>
    <t>Ahmedabad–Rajkot Expressway (SH-27)</t>
  </si>
  <si>
    <t>Ahmedabad</t>
  </si>
  <si>
    <t>Rajkot</t>
  </si>
  <si>
    <t>Ahmedabad, Surendranagar, Rajkot</t>
  </si>
  <si>
    <t>Saurashtra</t>
  </si>
  <si>
    <t>RD0108</t>
  </si>
  <si>
    <t>Dwarka–Somnath Coastal SH</t>
  </si>
  <si>
    <t>Dwarka</t>
  </si>
  <si>
    <t>Somnath</t>
  </si>
  <si>
    <t>Dwarka, Porbandar, Veraval, Somnath</t>
  </si>
  <si>
    <t>Devbhumi Dwarka, Gir Somnath</t>
  </si>
  <si>
    <t>Saurashtra Coast</t>
  </si>
  <si>
    <t>D</t>
  </si>
  <si>
    <t>RD0109</t>
  </si>
  <si>
    <t>Gujarat Urban Road – Ahmedabad BRTS</t>
  </si>
  <si>
    <t>Naroda</t>
  </si>
  <si>
    <t>Vastral</t>
  </si>
  <si>
    <t>Ahmedabad Urban</t>
  </si>
  <si>
    <t>RD0110</t>
  </si>
  <si>
    <t>Gujarat Urban Road – Surat Ring Road</t>
  </si>
  <si>
    <t>Udhna</t>
  </si>
  <si>
    <t>Sachin</t>
  </si>
  <si>
    <t>Surat</t>
  </si>
  <si>
    <t>Surat Urban</t>
  </si>
  <si>
    <t>RD0111</t>
  </si>
  <si>
    <t>Gujarat Urban Road – Vadodara City</t>
  </si>
  <si>
    <t>Sayajigunj</t>
  </si>
  <si>
    <t>Alkapuri</t>
  </si>
  <si>
    <t>Vadodara</t>
  </si>
  <si>
    <t>Vadodara Urban</t>
  </si>
  <si>
    <t>RD0112</t>
  </si>
  <si>
    <t>Kandla Port–Gandhidham Connector</t>
  </si>
  <si>
    <t>Kandla Port</t>
  </si>
  <si>
    <t>Gandhidham</t>
  </si>
  <si>
    <t>Kandla, Gandhidham</t>
  </si>
  <si>
    <t>Kutch</t>
  </si>
  <si>
    <t>K</t>
  </si>
  <si>
    <t>RD0113</t>
  </si>
  <si>
    <t>MDR – Bhavnagar–Palitana</t>
  </si>
  <si>
    <t>Bhavnagar</t>
  </si>
  <si>
    <t>Palitana</t>
  </si>
  <si>
    <t>Bhavnagar, Palitana</t>
  </si>
  <si>
    <t>RD0114</t>
  </si>
  <si>
    <t>MDR – Morbi–Rajkot</t>
  </si>
  <si>
    <t>Morbi</t>
  </si>
  <si>
    <t>Morbi, Rajkot</t>
  </si>
  <si>
    <t>RD0115</t>
  </si>
  <si>
    <t>NH-27 Gujarat Stretch (Dwarka–Samakhiali)</t>
  </si>
  <si>
    <t>Samakhiali</t>
  </si>
  <si>
    <t>Dwarka, Jamnagar, Rajkot, Samakhiali</t>
  </si>
  <si>
    <t>Devbhumi Dwarka, Jamnagar, Rajkot, Kutch</t>
  </si>
  <si>
    <t>Saurashtra–Kutch</t>
  </si>
  <si>
    <t>RD0116</t>
  </si>
  <si>
    <t>NH-47 Chittorgarh–Ahmedabad</t>
  </si>
  <si>
    <t>Udaipur border</t>
  </si>
  <si>
    <t>Himatnagar, Sabarkantha, Ahmedabad</t>
  </si>
  <si>
    <t>Sabarkantha, Gandhinagar, Ahmedabad</t>
  </si>
  <si>
    <t>North Gujarat</t>
  </si>
  <si>
    <t>RD0117</t>
  </si>
  <si>
    <t>NH-48 Ahmedabad–Vadodara Expressway</t>
  </si>
  <si>
    <t>Ahmedabad, Anand, Vadodara</t>
  </si>
  <si>
    <t>Central Gujarat</t>
  </si>
  <si>
    <t>RD0118</t>
  </si>
  <si>
    <t>NH-48 Vadodara–Surat–Mumbai</t>
  </si>
  <si>
    <t>Vadodara, Bharuch, Surat</t>
  </si>
  <si>
    <t>South Gujarat</t>
  </si>
  <si>
    <t>RD0119</t>
  </si>
  <si>
    <t>NH-8A Ahmedabad–Kandla</t>
  </si>
  <si>
    <t>Kandla</t>
  </si>
  <si>
    <t>Ahmedabad, Morbi, Gandhidham, Kandla</t>
  </si>
  <si>
    <t>Ahmedabad, Morbi, Kutch</t>
  </si>
  <si>
    <t>Kutch Region</t>
  </si>
  <si>
    <t>RD0120</t>
  </si>
  <si>
    <t>NH-951 Surat–Hazira Port</t>
  </si>
  <si>
    <t>Hazira</t>
  </si>
  <si>
    <t>Surat, Hazira</t>
  </si>
  <si>
    <t>Port Access</t>
  </si>
  <si>
    <t>RD0121</t>
  </si>
  <si>
    <t>Rural Road – Kutch Desert Villages</t>
  </si>
  <si>
    <t>Bhuj</t>
  </si>
  <si>
    <t>Khavda</t>
  </si>
  <si>
    <t>Bhuj, Khavda</t>
  </si>
  <si>
    <t>RD0122</t>
  </si>
  <si>
    <t>Rural Road – Tribal Saurashtra</t>
  </si>
  <si>
    <t>Junagadh</t>
  </si>
  <si>
    <t>Keshod</t>
  </si>
  <si>
    <t>Junagadh, Keshod</t>
  </si>
  <si>
    <t>Saurashtra Rural</t>
  </si>
  <si>
    <t>RD0123</t>
  </si>
  <si>
    <t>SH-6 Surat–Vapi–Daman</t>
  </si>
  <si>
    <t>Vapi</t>
  </si>
  <si>
    <t>Surat, Navsari, Vapi</t>
  </si>
  <si>
    <t>Surat, Navsari, Valsad</t>
  </si>
  <si>
    <t>RD0124</t>
  </si>
  <si>
    <t>SH-9 Mehsana–Patan</t>
  </si>
  <si>
    <t>Mehsana</t>
  </si>
  <si>
    <t>Patan</t>
  </si>
  <si>
    <t>Mehsana, Patan</t>
  </si>
  <si>
    <t>RD0125</t>
  </si>
  <si>
    <t>Village Road – Narmada District</t>
  </si>
  <si>
    <t>Rajpipla</t>
  </si>
  <si>
    <t>Kevadiya</t>
  </si>
  <si>
    <t>Rajpipla, Kevadiya</t>
  </si>
  <si>
    <t>Narmada</t>
  </si>
  <si>
    <t>Narmada Valley</t>
  </si>
  <si>
    <t>RD0126</t>
  </si>
  <si>
    <t>Village Road – North Gujarat Farmlands</t>
  </si>
  <si>
    <t>Banaskantha</t>
  </si>
  <si>
    <t>Deesa</t>
  </si>
  <si>
    <t>Banaskantha, Deesa</t>
  </si>
  <si>
    <t>RD0127</t>
  </si>
  <si>
    <t>Haryana</t>
  </si>
  <si>
    <t>Delhi–Amritsar–Katra Expressway (Haryana)</t>
  </si>
  <si>
    <t>Delhi border</t>
  </si>
  <si>
    <t>Ambala</t>
  </si>
  <si>
    <t>Delhi, Kundli, Panipat, Ambala</t>
  </si>
  <si>
    <t>Sonipat, Panipat, Ambala</t>
  </si>
  <si>
    <t>North Haryana</t>
  </si>
  <si>
    <t>RD0128</t>
  </si>
  <si>
    <t>Haryana Urban Road – Faridabad City</t>
  </si>
  <si>
    <t>NIT Faridabad</t>
  </si>
  <si>
    <t>Ballabhgarh</t>
  </si>
  <si>
    <t>Faridabad</t>
  </si>
  <si>
    <t>Faridabad Urban</t>
  </si>
  <si>
    <t>H</t>
  </si>
  <si>
    <t>RD0129</t>
  </si>
  <si>
    <t>Haryana Urban Road – Gurugram Cyber City</t>
  </si>
  <si>
    <t>Cyber City</t>
  </si>
  <si>
    <t>Sohna Road</t>
  </si>
  <si>
    <t>Gurugram</t>
  </si>
  <si>
    <t>Gurugram Urban</t>
  </si>
  <si>
    <t>RD0130</t>
  </si>
  <si>
    <t>Haryana Urban Road – Hisar City</t>
  </si>
  <si>
    <t>Hisar Bus Stand</t>
  </si>
  <si>
    <t>Hansi Road</t>
  </si>
  <si>
    <t>Hisar</t>
  </si>
  <si>
    <t>Hisar Urban</t>
  </si>
  <si>
    <t>RD0131</t>
  </si>
  <si>
    <t>KMP Expressway (Kundli–Manesar–Palwal)</t>
  </si>
  <si>
    <t>Kundli</t>
  </si>
  <si>
    <t>Palwal</t>
  </si>
  <si>
    <t>Kundli, Manesar, Palwal</t>
  </si>
  <si>
    <t>Sonipat, Jhajjar, Gurugram, Faridabad</t>
  </si>
  <si>
    <t>NCR Peripheral</t>
  </si>
  <si>
    <t>RD0132</t>
  </si>
  <si>
    <t>MDR – Bhiwani–Charkhi Dadri</t>
  </si>
  <si>
    <t>Bhiwani</t>
  </si>
  <si>
    <t>Charkhi Dadri</t>
  </si>
  <si>
    <t>Bhiwani, Charkhi Dadri</t>
  </si>
  <si>
    <t>Western Haryana</t>
  </si>
  <si>
    <t>RD0133</t>
  </si>
  <si>
    <t>MDR – Palwal–Hodal</t>
  </si>
  <si>
    <t>Hodal</t>
  </si>
  <si>
    <t>Palwal, Hodal</t>
  </si>
  <si>
    <t>South Haryana</t>
  </si>
  <si>
    <t>RD0134</t>
  </si>
  <si>
    <t>NH-44 Delhi–Ambala–Chandigarh</t>
  </si>
  <si>
    <t>Chandigarh border</t>
  </si>
  <si>
    <t>Sonipat, Panipat, Karnal, Ambala, Chandigarh</t>
  </si>
  <si>
    <t>Sonipat, Panipat, Karnal, Ambala</t>
  </si>
  <si>
    <t>Haryana GT Road</t>
  </si>
  <si>
    <t>RD0135</t>
  </si>
  <si>
    <t>NH-48 Delhi–Jaipur (Haryana Section)</t>
  </si>
  <si>
    <t>Rewari</t>
  </si>
  <si>
    <t>Gurugram, Manesar, Rewari</t>
  </si>
  <si>
    <t>Gurugram, Rewari</t>
  </si>
  <si>
    <t>RD0136</t>
  </si>
  <si>
    <t>NH-58 Delhi–Meerut (Haryana section)</t>
  </si>
  <si>
    <t>Bahadurgarh</t>
  </si>
  <si>
    <t>Jhajjar</t>
  </si>
  <si>
    <t>West Haryana</t>
  </si>
  <si>
    <t>RD0137</t>
  </si>
  <si>
    <t>NH-65 Ambala–Hisar–Bathinda</t>
  </si>
  <si>
    <t>Ambala, Narwana, Hisar</t>
  </si>
  <si>
    <t>Ambala, Jind, Hisar</t>
  </si>
  <si>
    <t>Central Haryana</t>
  </si>
  <si>
    <t>RD0138</t>
  </si>
  <si>
    <t>NH-709 Rohtak–Rewari</t>
  </si>
  <si>
    <t>Rohtak</t>
  </si>
  <si>
    <t>Rohtak, Jhajjar, Rewari</t>
  </si>
  <si>
    <t>RD0139</t>
  </si>
  <si>
    <t>Rural Road – Mewat Villages</t>
  </si>
  <si>
    <t>Nuh</t>
  </si>
  <si>
    <t>Ferozpur Jhirka</t>
  </si>
  <si>
    <t>Nuh, Ferozpur Jhirka</t>
  </si>
  <si>
    <t>Mewat</t>
  </si>
  <si>
    <t>RD0140</t>
  </si>
  <si>
    <t>SH-1 Yamunanagar–Panchkula</t>
  </si>
  <si>
    <t>Yamunanagar</t>
  </si>
  <si>
    <t>Panchkula</t>
  </si>
  <si>
    <t>Yamunanagar, Panchkula</t>
  </si>
  <si>
    <t>Shivalik Belt</t>
  </si>
  <si>
    <t>RD0141</t>
  </si>
  <si>
    <t>SH-22 Rohtak–Hisar</t>
  </si>
  <si>
    <t>Rohtak, Bhiwani, Hisar</t>
  </si>
  <si>
    <t>RD0142</t>
  </si>
  <si>
    <t>SH-7 Karnal–Kaithal</t>
  </si>
  <si>
    <t>Karnal</t>
  </si>
  <si>
    <t>Kaithal</t>
  </si>
  <si>
    <t>Karnal, Kaithal</t>
  </si>
  <si>
    <t>RD0143</t>
  </si>
  <si>
    <t>Village Road – Mewat Rural Connectivity</t>
  </si>
  <si>
    <t>Tauru</t>
  </si>
  <si>
    <t>Tauru, Nuh</t>
  </si>
  <si>
    <t>RD0144</t>
  </si>
  <si>
    <t>Village Road – Sirsa Agricultural Roads</t>
  </si>
  <si>
    <t>Sirsa</t>
  </si>
  <si>
    <t>Ellenabad</t>
  </si>
  <si>
    <t>Sirsa, Ellenabad</t>
  </si>
  <si>
    <t>RD0145</t>
  </si>
  <si>
    <t>Himachal Pradesh</t>
  </si>
  <si>
    <t>HP MDR – Kangra–Palampur</t>
  </si>
  <si>
    <t>Kangra</t>
  </si>
  <si>
    <t>Palampur</t>
  </si>
  <si>
    <t>Kangra, Palampur</t>
  </si>
  <si>
    <t>Kangra Valley</t>
  </si>
  <si>
    <t>RD0146</t>
  </si>
  <si>
    <t>HP SH-16 Dharamsala–Dalhousie</t>
  </si>
  <si>
    <t>Dharamsala</t>
  </si>
  <si>
    <t>Dalhousie</t>
  </si>
  <si>
    <t>Dharamsala, Kangra, Dalhousie</t>
  </si>
  <si>
    <t>Kangra, Chamba</t>
  </si>
  <si>
    <t>Kangra–Chamba</t>
  </si>
  <si>
    <t>RD0147</t>
  </si>
  <si>
    <t>HP SH-18 Chamba–Bharmour</t>
  </si>
  <si>
    <t>Chamba</t>
  </si>
  <si>
    <t>Bharmour</t>
  </si>
  <si>
    <t>Chamba, Bharmour</t>
  </si>
  <si>
    <t>Chamba District</t>
  </si>
  <si>
    <t>RD0148</t>
  </si>
  <si>
    <t>HP SH-26 Hamirpur–Una</t>
  </si>
  <si>
    <t>Hamirpur</t>
  </si>
  <si>
    <t>Una</t>
  </si>
  <si>
    <t>Hamirpur, Una</t>
  </si>
  <si>
    <t>Lower Himachal</t>
  </si>
  <si>
    <t>RD0149</t>
  </si>
  <si>
    <t>HP Urban Road – Shimla Mall Road</t>
  </si>
  <si>
    <t>Lakkar Bazaar</t>
  </si>
  <si>
    <t>The Ridge</t>
  </si>
  <si>
    <t>Shimla</t>
  </si>
  <si>
    <t>Shimla Urban</t>
  </si>
  <si>
    <t>RD0150</t>
  </si>
  <si>
    <t>HP Village Road – Spiti Valley Remote</t>
  </si>
  <si>
    <t>Kaza</t>
  </si>
  <si>
    <t>Tabo</t>
  </si>
  <si>
    <t>Kaza, Tabo</t>
  </si>
  <si>
    <t>Lahaul Spiti</t>
  </si>
  <si>
    <t>Spiti Valley</t>
  </si>
  <si>
    <t>RD0151</t>
  </si>
  <si>
    <t>Manali–Leh Highway (HP Section)</t>
  </si>
  <si>
    <t>Manali</t>
  </si>
  <si>
    <t>Baralacha La</t>
  </si>
  <si>
    <t>Manali, Keylong, Sarchu</t>
  </si>
  <si>
    <t>Kullu, Lahaul Spiti</t>
  </si>
  <si>
    <t>Lahaul Corridor</t>
  </si>
  <si>
    <t>RD0152</t>
  </si>
  <si>
    <t>NH-21 Chandigarh–Manali</t>
  </si>
  <si>
    <t>Chandigarh</t>
  </si>
  <si>
    <t>Chandigarh, Bilaspur, Mandi, Kullu, Manali</t>
  </si>
  <si>
    <t>Bilaspur, Mandi, Kullu</t>
  </si>
  <si>
    <t>Kullu Corridor</t>
  </si>
  <si>
    <t>RD0153</t>
  </si>
  <si>
    <t>NH-22 Shimla–Kinnaur–Tibetan Border</t>
  </si>
  <si>
    <t>Shipki La</t>
  </si>
  <si>
    <t>Shimla, Rampur, Kalpa, Shipki La</t>
  </si>
  <si>
    <t>Shimla, Kinnaur</t>
  </si>
  <si>
    <t>Kinnaur</t>
  </si>
  <si>
    <t>RD0154</t>
  </si>
  <si>
    <t>NH-3 Shimla–Mandi–Manali</t>
  </si>
  <si>
    <t>Shimla, Mandi, Kullu, Manali</t>
  </si>
  <si>
    <t>Shimla, Mandi, Kullu</t>
  </si>
  <si>
    <t>Beas Valley</t>
  </si>
  <si>
    <t>RD0155</t>
  </si>
  <si>
    <t>NH-5 Chandigarh–Shimla</t>
  </si>
  <si>
    <t>Chandigarh, Kasauli, Solan, Shimla</t>
  </si>
  <si>
    <t>Solan, Shimla</t>
  </si>
  <si>
    <t>RD0156</t>
  </si>
  <si>
    <t>NH-705 Kiratpur–Nerchowk</t>
  </si>
  <si>
    <t>Kiratpur</t>
  </si>
  <si>
    <t>Nerchowk</t>
  </si>
  <si>
    <t>Kiratpur, Bilaspur, Nerchowk</t>
  </si>
  <si>
    <t>Bilaspur, Mandi</t>
  </si>
  <si>
    <t>Bilaspur–Mandi</t>
  </si>
  <si>
    <t>RD0157</t>
  </si>
  <si>
    <t>Rural Road – Lahaul Spiti High Altitude</t>
  </si>
  <si>
    <t>Keylong</t>
  </si>
  <si>
    <t>Trilokinath</t>
  </si>
  <si>
    <t>Keylong, Udaipur, Trilokinath</t>
  </si>
  <si>
    <t>Lahaul Valley</t>
  </si>
  <si>
    <t>RD0158</t>
  </si>
  <si>
    <t>Rural Road – Shimla Hill Villages</t>
  </si>
  <si>
    <t>Rohru</t>
  </si>
  <si>
    <t>Chirgaon</t>
  </si>
  <si>
    <t>Rohru, Chirgaon</t>
  </si>
  <si>
    <t>Upper Shimla</t>
  </si>
  <si>
    <t>RD0159</t>
  </si>
  <si>
    <t>SH-33 Dehradun–Nahan (HP side)</t>
  </si>
  <si>
    <t>Nahan</t>
  </si>
  <si>
    <t>Paonta Sahib</t>
  </si>
  <si>
    <t>Nahan, Paonta Sahib</t>
  </si>
  <si>
    <t>Sirmaur</t>
  </si>
  <si>
    <t>RD0160</t>
  </si>
  <si>
    <t>Village Road – Chamba Remote Tribal</t>
  </si>
  <si>
    <t>Pangi</t>
  </si>
  <si>
    <t>Killar</t>
  </si>
  <si>
    <t>Pangi, Killar</t>
  </si>
  <si>
    <t>Pangi Valley</t>
  </si>
  <si>
    <t>RD0161</t>
  </si>
  <si>
    <t>Village Road – Kullu Valley Orchards</t>
  </si>
  <si>
    <t>Banjar</t>
  </si>
  <si>
    <t>Ani</t>
  </si>
  <si>
    <t>Banjar, Ani</t>
  </si>
  <si>
    <t>Kullu</t>
  </si>
  <si>
    <t>Kullu Valley</t>
  </si>
  <si>
    <t>RD0162</t>
  </si>
  <si>
    <t>Jharkhand</t>
  </si>
  <si>
    <t>JH MDR – Hazaribagh–Chatra</t>
  </si>
  <si>
    <t>Hazaribagh</t>
  </si>
  <si>
    <t>Chatra</t>
  </si>
  <si>
    <t>Hazaribagh, Chatra</t>
  </si>
  <si>
    <t>Central Jharkhand</t>
  </si>
  <si>
    <t>J</t>
  </si>
  <si>
    <t>RD0163</t>
  </si>
  <si>
    <t>JH SH-3 Ranchi–Lohardaga</t>
  </si>
  <si>
    <t>Ranchi</t>
  </si>
  <si>
    <t>Lohardaga</t>
  </si>
  <si>
    <t>Ranchi, Lohardaga</t>
  </si>
  <si>
    <t>West Jharkhand</t>
  </si>
  <si>
    <t>RD0164</t>
  </si>
  <si>
    <t>JH Urban Road – Dhanbad Coalfield</t>
  </si>
  <si>
    <t>Dhanbad Junction</t>
  </si>
  <si>
    <t>Jharia</t>
  </si>
  <si>
    <t>Dhanbad, Jharia</t>
  </si>
  <si>
    <t>Dhanbad</t>
  </si>
  <si>
    <t>Dhanbad Urban</t>
  </si>
  <si>
    <t>RD0165</t>
  </si>
  <si>
    <t>JH Urban Road – Jamshedpur Steel City</t>
  </si>
  <si>
    <t>Bistupur</t>
  </si>
  <si>
    <t>Adityapur</t>
  </si>
  <si>
    <t>Jamshedpur</t>
  </si>
  <si>
    <t>East Singhbhum</t>
  </si>
  <si>
    <t>Jamshedpur Urban</t>
  </si>
  <si>
    <t>RD0166</t>
  </si>
  <si>
    <t>JH Urban Road – Ranchi Smart City</t>
  </si>
  <si>
    <t>HB Road</t>
  </si>
  <si>
    <t>Kanke Road</t>
  </si>
  <si>
    <t>Ranchi Urban</t>
  </si>
  <si>
    <t>RD0167</t>
  </si>
  <si>
    <t>NH-20 Hazaribagh–Ranchi</t>
  </si>
  <si>
    <t>Hazaribagh, Ranchi</t>
  </si>
  <si>
    <t>RD0168</t>
  </si>
  <si>
    <t>NH-23 Chaibasa–Ranchi</t>
  </si>
  <si>
    <t>Chaibasa</t>
  </si>
  <si>
    <t>Chaibasa, Chakradharpur, Ranchi</t>
  </si>
  <si>
    <t>W Singhbhum, Ranchi</t>
  </si>
  <si>
    <t>RD0169</t>
  </si>
  <si>
    <t>Rajmahal</t>
  </si>
  <si>
    <t>Barhi, Hazaribagh, Deoghar, Rajmahal</t>
  </si>
  <si>
    <t>Hazaribagh, Deoghar, Sahebganj</t>
  </si>
  <si>
    <t>Northeast JH</t>
  </si>
  <si>
    <t>RD0170</t>
  </si>
  <si>
    <t>NH-33 Jamshedpur–Ranchi</t>
  </si>
  <si>
    <t>Jamshedpur, Bokaro, Ranchi</t>
  </si>
  <si>
    <t>E Singhbhum, Bokaro, Ranchi</t>
  </si>
  <si>
    <t>Industrial Corridor</t>
  </si>
  <si>
    <t>RD0171</t>
  </si>
  <si>
    <t>NH-43 Ranchi–Rourkela</t>
  </si>
  <si>
    <t>Rourkela border</t>
  </si>
  <si>
    <t>Ranchi, Gumla, Rourkela</t>
  </si>
  <si>
    <t>Ranchi, Gumla</t>
  </si>
  <si>
    <t>South Jharkhand</t>
  </si>
  <si>
    <t>RD0172</t>
  </si>
  <si>
    <t>NH-75 Dhanbad–Bokaro</t>
  </si>
  <si>
    <t>Bokaro</t>
  </si>
  <si>
    <t>Dhanbad, Bokaro</t>
  </si>
  <si>
    <t>RD0173</t>
  </si>
  <si>
    <t>Rural Road – Santhal Pargana Farmlands</t>
  </si>
  <si>
    <t>Dumka</t>
  </si>
  <si>
    <t>Pakur</t>
  </si>
  <si>
    <t>Dumka, Pakur</t>
  </si>
  <si>
    <t>East Jharkhand</t>
  </si>
  <si>
    <t>RD0174</t>
  </si>
  <si>
    <t>SH-10 Deoghar–Dumka</t>
  </si>
  <si>
    <t>Deoghar</t>
  </si>
  <si>
    <t>Deoghar, Dumka</t>
  </si>
  <si>
    <t>Santhal Pargana</t>
  </si>
  <si>
    <t>RD0175</t>
  </si>
  <si>
    <t>SH-5 Dhanbad–Giridih</t>
  </si>
  <si>
    <t>Giridih</t>
  </si>
  <si>
    <t>Dhanbad, Giridih</t>
  </si>
  <si>
    <t>North JH</t>
  </si>
  <si>
    <t>RD0176</t>
  </si>
  <si>
    <t>Village Road – Gumla Tribal Belt</t>
  </si>
  <si>
    <t>Gumla</t>
  </si>
  <si>
    <t>Simdega</t>
  </si>
  <si>
    <t>Gumla, Simdega</t>
  </si>
  <si>
    <t>RD0177</t>
  </si>
  <si>
    <t>Village Road – Khunti Rural</t>
  </si>
  <si>
    <t>Khunti</t>
  </si>
  <si>
    <t>Torpa</t>
  </si>
  <si>
    <t>Khunti, Torpa</t>
  </si>
  <si>
    <t>Jharkhand Tribal</t>
  </si>
  <si>
    <t>RD0178</t>
  </si>
  <si>
    <t>Village Road – Latehar Forest Road</t>
  </si>
  <si>
    <t>Latehar</t>
  </si>
  <si>
    <t>Manika</t>
  </si>
  <si>
    <t>Latehar, Manika</t>
  </si>
  <si>
    <t>Forested JH</t>
  </si>
  <si>
    <t>RD0179</t>
  </si>
  <si>
    <t>Karnataka</t>
  </si>
  <si>
    <t>Bengaluru Peripheral Ring Road</t>
  </si>
  <si>
    <t>Tumkur Road</t>
  </si>
  <si>
    <t>Hosur Road</t>
  </si>
  <si>
    <t>Bengaluru</t>
  </si>
  <si>
    <t>Bengaluru Urban, Bengaluru Rural</t>
  </si>
  <si>
    <t>Bengaluru Metro</t>
  </si>
  <si>
    <t>RD0180</t>
  </si>
  <si>
    <t>Bengaluru–Chennai Expressway (NH-48)</t>
  </si>
  <si>
    <t>Krishnagiri border</t>
  </si>
  <si>
    <t>Bengaluru, Hosur, Krishnagiri</t>
  </si>
  <si>
    <t>East Karnataka</t>
  </si>
  <si>
    <t>RD0181</t>
  </si>
  <si>
    <t>Bengaluru–Mysuru Expressway</t>
  </si>
  <si>
    <t>Mysuru</t>
  </si>
  <si>
    <t>Bengaluru, Bidadi, Ramanagara, Mandya, Mysuru</t>
  </si>
  <si>
    <t>Bengaluru Urban, Ramanagara, Mandya, Mysuru</t>
  </si>
  <si>
    <t>South Karnataka</t>
  </si>
  <si>
    <t>RD0182</t>
  </si>
  <si>
    <t>KA MDR – Davangere–Chitradurga</t>
  </si>
  <si>
    <t>Davangere</t>
  </si>
  <si>
    <t>Chitradurga</t>
  </si>
  <si>
    <t>Davangere, Chitradurga</t>
  </si>
  <si>
    <t>Central Karnataka</t>
  </si>
  <si>
    <t>RD0183</t>
  </si>
  <si>
    <t>KA MDR – Shimoga–Sagar</t>
  </si>
  <si>
    <t>Shimoga</t>
  </si>
  <si>
    <t>Sagar</t>
  </si>
  <si>
    <t>Shimoga, Sagar</t>
  </si>
  <si>
    <t>Shivamogga</t>
  </si>
  <si>
    <t>Malnad</t>
  </si>
  <si>
    <t>RD0184</t>
  </si>
  <si>
    <t>KA SH-17 Mangalore–Udupi</t>
  </si>
  <si>
    <t>Mangalore</t>
  </si>
  <si>
    <t>Udupi</t>
  </si>
  <si>
    <t>Mangalore, Udupi</t>
  </si>
  <si>
    <t>DK, Udupi</t>
  </si>
  <si>
    <t>Coastal Karnataka</t>
  </si>
  <si>
    <t>RD0185</t>
  </si>
  <si>
    <t>KA SH-57 Hubli–Dharwad</t>
  </si>
  <si>
    <t>Hubli</t>
  </si>
  <si>
    <t>Dharwad</t>
  </si>
  <si>
    <t>Hubli, Dharwad</t>
  </si>
  <si>
    <t>North Karnataka</t>
  </si>
  <si>
    <t>RD0186</t>
  </si>
  <si>
    <t>KA Urban Road – Bengaluru Outer Ring</t>
  </si>
  <si>
    <t>Hebbal</t>
  </si>
  <si>
    <t>Electronic City</t>
  </si>
  <si>
    <t>Bengaluru Urban</t>
  </si>
  <si>
    <t>RD0187</t>
  </si>
  <si>
    <t>KA Urban Road – Mangalore City</t>
  </si>
  <si>
    <t>Hampankatta</t>
  </si>
  <si>
    <t>KSRTC Stand</t>
  </si>
  <si>
    <t>DK</t>
  </si>
  <si>
    <t>Mangalore Urban</t>
  </si>
  <si>
    <t>RD0188</t>
  </si>
  <si>
    <t>KA Urban Road – Mysuru City</t>
  </si>
  <si>
    <t>Chamundi Hill</t>
  </si>
  <si>
    <t>Mysuru Palace</t>
  </si>
  <si>
    <t>Mysuru Urban</t>
  </si>
  <si>
    <t>RD0189</t>
  </si>
  <si>
    <t>NH-150A Hubli–Ankola</t>
  </si>
  <si>
    <t>Ankola</t>
  </si>
  <si>
    <t>Hubli, Sirsi, Ankola</t>
  </si>
  <si>
    <t>Dharwad, Uttara Kannada</t>
  </si>
  <si>
    <t>West Gate</t>
  </si>
  <si>
    <t>RD0190</t>
  </si>
  <si>
    <t>NH-44 Bengaluru–Hosapete–Hyderabad</t>
  </si>
  <si>
    <t>Bengaluru, Tumkur, Chitradurga, Davangere, Hosapete</t>
  </si>
  <si>
    <t>Bengaluru, Tumkur, Chitradurga, Davangere, Bellary</t>
  </si>
  <si>
    <t>RD0191</t>
  </si>
  <si>
    <t>NH-48 Bengaluru–Pune Corridor</t>
  </si>
  <si>
    <t>Kolhapur border</t>
  </si>
  <si>
    <t>Bengaluru, Hubli, Dharwad, Belagavi</t>
  </si>
  <si>
    <t>Bengaluru, Dharwad, Belagavi</t>
  </si>
  <si>
    <t>Karnataka–MH</t>
  </si>
  <si>
    <t>RD0192</t>
  </si>
  <si>
    <t>NH-66 Karnataka Coast</t>
  </si>
  <si>
    <t>Gokarna</t>
  </si>
  <si>
    <t>Gokarna, Karwar, Kumta, Udupi, Mangalore</t>
  </si>
  <si>
    <t>Uttara Kannada, Udupi, DK</t>
  </si>
  <si>
    <t>RD0193</t>
  </si>
  <si>
    <t>NH-67 Coimbatore–Kozhikode (KA section)</t>
  </si>
  <si>
    <t>Gudalur</t>
  </si>
  <si>
    <t>Mysuru, Gudalur</t>
  </si>
  <si>
    <t>Mysuru, Chamarajanagara</t>
  </si>
  <si>
    <t>South KA</t>
  </si>
  <si>
    <t>RD0194</t>
  </si>
  <si>
    <t>Rural Road – Coorg Coffee Estates</t>
  </si>
  <si>
    <t>Madikeri</t>
  </si>
  <si>
    <t>Virajpet</t>
  </si>
  <si>
    <t>Madikeri, Virajpet</t>
  </si>
  <si>
    <t>Kodagu</t>
  </si>
  <si>
    <t>Coorg</t>
  </si>
  <si>
    <t>RD0195</t>
  </si>
  <si>
    <t>Rural Road – Malnad Plantation Area</t>
  </si>
  <si>
    <t>Agumbe</t>
  </si>
  <si>
    <t>Thirthahalli</t>
  </si>
  <si>
    <t>Agumbe, Thirthahalli</t>
  </si>
  <si>
    <t>Malnad Hills</t>
  </si>
  <si>
    <t>RD0196</t>
  </si>
  <si>
    <t>SH-1 Bengaluru–Kolar</t>
  </si>
  <si>
    <t>Kolar</t>
  </si>
  <si>
    <t>Bengaluru, Whitefield, Kolar</t>
  </si>
  <si>
    <t>Bengaluru Rural, Kolar</t>
  </si>
  <si>
    <t>RD0197</t>
  </si>
  <si>
    <t>Village Road – North Karnataka Villages</t>
  </si>
  <si>
    <t>Bidar</t>
  </si>
  <si>
    <t>Humnabad</t>
  </si>
  <si>
    <t>Bidar, Humnabad</t>
  </si>
  <si>
    <t>Hyderabad–Karnataka</t>
  </si>
  <si>
    <t>RD0198</t>
  </si>
  <si>
    <t>Village Road – Yadgir Tribal Areas</t>
  </si>
  <si>
    <t>Yadgir</t>
  </si>
  <si>
    <t>Gurumitkal</t>
  </si>
  <si>
    <t>Yadgir, Gurumitkal</t>
  </si>
  <si>
    <t>RD0199</t>
  </si>
  <si>
    <t>Kerala</t>
  </si>
  <si>
    <t>KL MDR – Idukki–Munnar</t>
  </si>
  <si>
    <t>Thodupuzha</t>
  </si>
  <si>
    <t>Munnar</t>
  </si>
  <si>
    <t>Thodupuzha, Munnar</t>
  </si>
  <si>
    <t>Idukki</t>
  </si>
  <si>
    <t>High Range</t>
  </si>
  <si>
    <t>RD0200</t>
  </si>
  <si>
    <t>KL MDR – Kasaragod–Kanhangad</t>
  </si>
  <si>
    <t>Kasaragod</t>
  </si>
  <si>
    <t>Kanhangad</t>
  </si>
  <si>
    <t>Kasaragod, Kanhangad</t>
  </si>
  <si>
    <t>North Kerala</t>
  </si>
  <si>
    <t>RD0201</t>
  </si>
  <si>
    <t>KL SH-1 Thiruvananthapuram–Kollam</t>
  </si>
  <si>
    <t>Thiruvananthapuram</t>
  </si>
  <si>
    <t>Kollam</t>
  </si>
  <si>
    <t>Thiruvananthapuram, Varkala, Kollam</t>
  </si>
  <si>
    <t>Thiruvananthapuram, Kollam</t>
  </si>
  <si>
    <t>South Kerala</t>
  </si>
  <si>
    <t>RD0202</t>
  </si>
  <si>
    <t>KL SH-17 Wayanad–Kozhikode</t>
  </si>
  <si>
    <t>Kalpetta</t>
  </si>
  <si>
    <t>Kozhikode</t>
  </si>
  <si>
    <t>Kalpetta, Vythiri, Kozhikode</t>
  </si>
  <si>
    <t>Wayanad, Kozhikode</t>
  </si>
  <si>
    <t>Wayanad Ghat</t>
  </si>
  <si>
    <t>RD0203</t>
  </si>
  <si>
    <t>KL Urban Road – Kochi Metro Zone</t>
  </si>
  <si>
    <t>Edapally</t>
  </si>
  <si>
    <t>Aluva</t>
  </si>
  <si>
    <t>Kochi, Aluva</t>
  </si>
  <si>
    <t>Ernakulam</t>
  </si>
  <si>
    <t>Kochi Urban</t>
  </si>
  <si>
    <t>RD0204</t>
  </si>
  <si>
    <t>KL Urban Road – Kozhikode Beach</t>
  </si>
  <si>
    <t>Calicut Beach</t>
  </si>
  <si>
    <t>SM Street</t>
  </si>
  <si>
    <t>Kozhikode Urban</t>
  </si>
  <si>
    <t>RD0205</t>
  </si>
  <si>
    <t>KL Urban Road – Thiruvananthapuram City</t>
  </si>
  <si>
    <t>Palayam</t>
  </si>
  <si>
    <t>Karamana</t>
  </si>
  <si>
    <t>TVM Urban</t>
  </si>
  <si>
    <t>RD0206</t>
  </si>
  <si>
    <t>NH-183 Thiruvananthapuram–Nagercoil</t>
  </si>
  <si>
    <t>Nagercoil border</t>
  </si>
  <si>
    <t>Thiruvananthapuram, Neyyattinkara</t>
  </si>
  <si>
    <t>RD0207</t>
  </si>
  <si>
    <t>NH-544 Kochi–Coimbatore</t>
  </si>
  <si>
    <t>Kochi</t>
  </si>
  <si>
    <t>Palakkad</t>
  </si>
  <si>
    <t>Kochi, Ernakulam, Palakkad</t>
  </si>
  <si>
    <t>Ernakulam, Thrissur, Palakkad</t>
  </si>
  <si>
    <t>Palakkad Gap</t>
  </si>
  <si>
    <t>RD0208</t>
  </si>
  <si>
    <t>NH-66 Kozhikode–Thiruvananthapuram</t>
  </si>
  <si>
    <t>Kozhikode, Thrissur, Kochi, Alappuzha, Thiruvananthapuram</t>
  </si>
  <si>
    <t>Kozhikode, Thrissur, Ernakulam, Alappuzha, TVM</t>
  </si>
  <si>
    <t>Kerala Coast NH</t>
  </si>
  <si>
    <t>RD0209</t>
  </si>
  <si>
    <t>NH-766 Kozhikode–Mysuru</t>
  </si>
  <si>
    <t>Mysuru border</t>
  </si>
  <si>
    <t>Kozhikode, Kalpetta, Gundlupet</t>
  </si>
  <si>
    <t>Kozhikode, Wayanad</t>
  </si>
  <si>
    <t>RD0210</t>
  </si>
  <si>
    <t>NH-85 Ernakulam–Thrissur–Palakkad</t>
  </si>
  <si>
    <t>Central Kerala</t>
  </si>
  <si>
    <t>RD0211</t>
  </si>
  <si>
    <t>Rural Road – Backwater Villages Alappuzha</t>
  </si>
  <si>
    <t>Alappuzha</t>
  </si>
  <si>
    <t>Kuttanad</t>
  </si>
  <si>
    <t>Alappuzha, Kuttanad</t>
  </si>
  <si>
    <t>Backwater Region</t>
  </si>
  <si>
    <t>RD0212</t>
  </si>
  <si>
    <t>Rural Road – High Range Idukki</t>
  </si>
  <si>
    <t>Devikulam</t>
  </si>
  <si>
    <t>Munnar, Devikulam</t>
  </si>
  <si>
    <t>RD0213</t>
  </si>
  <si>
    <t>SH-1 Thrissur–Guruvayur</t>
  </si>
  <si>
    <t>Thrissur</t>
  </si>
  <si>
    <t>Guruvayur</t>
  </si>
  <si>
    <t>Thrissur, Guruvayur</t>
  </si>
  <si>
    <t>RD0214</t>
  </si>
  <si>
    <t>SH-51 Palakkad–Malampuzha</t>
  </si>
  <si>
    <t>Malampuzha</t>
  </si>
  <si>
    <t>Palakkad, Malampuzha</t>
  </si>
  <si>
    <t>RD0215</t>
  </si>
  <si>
    <t>Village Road – Munroe Island Backwater</t>
  </si>
  <si>
    <t>Munroe Island</t>
  </si>
  <si>
    <t>Kollam, Munroe</t>
  </si>
  <si>
    <t>Coastal Backwater</t>
  </si>
  <si>
    <t>RD0216</t>
  </si>
  <si>
    <t>Village Road – Wayanad Tribal Roads</t>
  </si>
  <si>
    <t>Mananthavady</t>
  </si>
  <si>
    <t>Thirunelly</t>
  </si>
  <si>
    <t>Mananthavady, Thirunelly</t>
  </si>
  <si>
    <t>Wayanad</t>
  </si>
  <si>
    <t>Wayanad Tribal</t>
  </si>
  <si>
    <t>RD0217</t>
  </si>
  <si>
    <t>Madhya Pradesh</t>
  </si>
  <si>
    <t>MP MDR – Chhindwara–Seoni</t>
  </si>
  <si>
    <t>Chhindwara</t>
  </si>
  <si>
    <t>Seoni</t>
  </si>
  <si>
    <t>Chhindwara, Seoni</t>
  </si>
  <si>
    <t>Central MP</t>
  </si>
  <si>
    <t>RD0218</t>
  </si>
  <si>
    <t>MP MDR – Rewa–Satna</t>
  </si>
  <si>
    <t>Rewa</t>
  </si>
  <si>
    <t>Satna</t>
  </si>
  <si>
    <t>Rewa, Satna</t>
  </si>
  <si>
    <t>Vindhya Region</t>
  </si>
  <si>
    <t>RD0219</t>
  </si>
  <si>
    <t>MP SH-18 Indore–Ujjain</t>
  </si>
  <si>
    <t>Indore</t>
  </si>
  <si>
    <t>Ujjain</t>
  </si>
  <si>
    <t>Indore, Ujjain</t>
  </si>
  <si>
    <t>Malwa</t>
  </si>
  <si>
    <t>RD0220</t>
  </si>
  <si>
    <t>MP SH-22 Bhopal–Hoshangabad</t>
  </si>
  <si>
    <t>Bhopal</t>
  </si>
  <si>
    <t>Hoshangabad</t>
  </si>
  <si>
    <t>Bhopal, Hoshangabad</t>
  </si>
  <si>
    <t>RD0221</t>
  </si>
  <si>
    <t>MP Urban Road – Bhopal Smart City</t>
  </si>
  <si>
    <t>Bittan Market</t>
  </si>
  <si>
    <t>BHEL</t>
  </si>
  <si>
    <t>Bhopal Urban</t>
  </si>
  <si>
    <t>RD0222</t>
  </si>
  <si>
    <t>MP Urban Road – Indore Ring Road</t>
  </si>
  <si>
    <t>Bypass Scheme</t>
  </si>
  <si>
    <t>MR10</t>
  </si>
  <si>
    <t>Indore Urban</t>
  </si>
  <si>
    <t>RD0223</t>
  </si>
  <si>
    <t>MP Urban Road – Jabalpur City</t>
  </si>
  <si>
    <t>Napier Town</t>
  </si>
  <si>
    <t>Adhartal</t>
  </si>
  <si>
    <t>Jabalpur</t>
  </si>
  <si>
    <t>Jabalpur Urban</t>
  </si>
  <si>
    <t>RD0224</t>
  </si>
  <si>
    <t>NH-12 Jabalpur–Bhopal–Nagpur</t>
  </si>
  <si>
    <t>Nagpur border</t>
  </si>
  <si>
    <t>Jabalpur, Narsimhapur, Bhopal, Betul</t>
  </si>
  <si>
    <t>Jabalpur, Narsimhapur, Sehore, Betul</t>
  </si>
  <si>
    <t>RD0225</t>
  </si>
  <si>
    <t>NH-3 Agra–Mumbai (MP Section)</t>
  </si>
  <si>
    <t>Gwalior</t>
  </si>
  <si>
    <t>Gwalior, Shivpuri, Guna, Dewas, Indore</t>
  </si>
  <si>
    <t>Gwalior, Shivpuri, Rajgarh, Indore</t>
  </si>
  <si>
    <t>West MP</t>
  </si>
  <si>
    <t>RD0226</t>
  </si>
  <si>
    <t>NH-44 MP–Delhi Stretch (Bhopal–Agra)</t>
  </si>
  <si>
    <t>Agra border</t>
  </si>
  <si>
    <t>Bhopal, Guna, Gwalior</t>
  </si>
  <si>
    <t>Bhopal, Guna, Gwalior, Shivpuri</t>
  </si>
  <si>
    <t>North MP</t>
  </si>
  <si>
    <t>RD0227</t>
  </si>
  <si>
    <t>NH-46 Jabalpur–Rewa</t>
  </si>
  <si>
    <t>Jabalpur, Katni, Rewa</t>
  </si>
  <si>
    <t>Vindhya MP</t>
  </si>
  <si>
    <t>RD0228</t>
  </si>
  <si>
    <t>NH-539 Indore–Ichhapur</t>
  </si>
  <si>
    <t>Khargone</t>
  </si>
  <si>
    <t>Indore, Khargone</t>
  </si>
  <si>
    <t>Nimar Region</t>
  </si>
  <si>
    <t>RD0229</t>
  </si>
  <si>
    <t>NH-76 Jaipur–Kota–Jabalpur</t>
  </si>
  <si>
    <t>Kota border</t>
  </si>
  <si>
    <t>Shivpuri, Jhansi approach, Jabalpur</t>
  </si>
  <si>
    <t>Shivpuri, Panna, Jabalpur</t>
  </si>
  <si>
    <t>Vindhya–Bundelkhand</t>
  </si>
  <si>
    <t>RD0230</t>
  </si>
  <si>
    <t>Rural Road – Bundelkhand Villages</t>
  </si>
  <si>
    <t>Chhatarpur</t>
  </si>
  <si>
    <t>Sagar, Chhatarpur</t>
  </si>
  <si>
    <t>Bundelkhand</t>
  </si>
  <si>
    <t>RD0231</t>
  </si>
  <si>
    <t>Rural Road – Mandla Tribal Forest</t>
  </si>
  <si>
    <t>Mandla</t>
  </si>
  <si>
    <t>Dindori</t>
  </si>
  <si>
    <t>Mandla, Dindori</t>
  </si>
  <si>
    <t>Mahakaushal</t>
  </si>
  <si>
    <t>RD0232</t>
  </si>
  <si>
    <t>SH-12 Khandwa–Burhanpur</t>
  </si>
  <si>
    <t>Khandwa</t>
  </si>
  <si>
    <t>Burhanpur</t>
  </si>
  <si>
    <t>Khandwa, Burhanpur</t>
  </si>
  <si>
    <t>Nimar</t>
  </si>
  <si>
    <t>RD0233</t>
  </si>
  <si>
    <t>SH-7 Ujjain–Dewas</t>
  </si>
  <si>
    <t>Dewas</t>
  </si>
  <si>
    <t>Ujjain, Dewas</t>
  </si>
  <si>
    <t>RD0234</t>
  </si>
  <si>
    <t>Village Road – Chambal Ravines</t>
  </si>
  <si>
    <t>Bhind</t>
  </si>
  <si>
    <t>Morena</t>
  </si>
  <si>
    <t>Bhind, Morena</t>
  </si>
  <si>
    <t>Chambal Valley</t>
  </si>
  <si>
    <t>RD0235</t>
  </si>
  <si>
    <t>Village Road – Panna Diamond Mines Road</t>
  </si>
  <si>
    <t>Panna</t>
  </si>
  <si>
    <t>Ajaigarh</t>
  </si>
  <si>
    <t>Panna, Ajaigarh</t>
  </si>
  <si>
    <t>Vindhya</t>
  </si>
  <si>
    <t>RD0236</t>
  </si>
  <si>
    <t>Maharashtra</t>
  </si>
  <si>
    <t>MH MDR – Nashik–Sinnar</t>
  </si>
  <si>
    <t>Nashik</t>
  </si>
  <si>
    <t>Sinnar</t>
  </si>
  <si>
    <t>Nashik, Sinnar</t>
  </si>
  <si>
    <t>North MH</t>
  </si>
  <si>
    <t>RD0237</t>
  </si>
  <si>
    <t>MH MDR – Solapur–Pandharpur</t>
  </si>
  <si>
    <t>Solapur</t>
  </si>
  <si>
    <t>Pandharpur</t>
  </si>
  <si>
    <t>Solapur, Pandharpur</t>
  </si>
  <si>
    <t>Marathwada</t>
  </si>
  <si>
    <t>RD0238</t>
  </si>
  <si>
    <t>MH SH-10 Pune–Satara</t>
  </si>
  <si>
    <t>Pune</t>
  </si>
  <si>
    <t>Satara</t>
  </si>
  <si>
    <t>Pune, Satara</t>
  </si>
  <si>
    <t>Western Ghats</t>
  </si>
  <si>
    <t>RD0239</t>
  </si>
  <si>
    <t>MH SH-72 Aurangabad–Jalgaon</t>
  </si>
  <si>
    <t>Aurangabad</t>
  </si>
  <si>
    <t>Jalgaon</t>
  </si>
  <si>
    <t>Aurangabad, Jalgaon</t>
  </si>
  <si>
    <t>Marathwada–Khandesh</t>
  </si>
  <si>
    <t>RD0240</t>
  </si>
  <si>
    <t>MH Urban Road – Mumbai Coastal Road</t>
  </si>
  <si>
    <t>Marine Drive</t>
  </si>
  <si>
    <t>Worli</t>
  </si>
  <si>
    <t>Mumbai</t>
  </si>
  <si>
    <t>Mumbai City</t>
  </si>
  <si>
    <t>Mumbai Urban</t>
  </si>
  <si>
    <t>RD0241</t>
  </si>
  <si>
    <t>MH Urban Road – Mumbai Eastern Express</t>
  </si>
  <si>
    <t>Sion</t>
  </si>
  <si>
    <t>Thane</t>
  </si>
  <si>
    <t>Mumbai, Thane</t>
  </si>
  <si>
    <t>Mumbai–Thane Urban</t>
  </si>
  <si>
    <t>RD0242</t>
  </si>
  <si>
    <t>MH Urban Road – Nagpur Ring Road</t>
  </si>
  <si>
    <t>Katol Road</t>
  </si>
  <si>
    <t>Wardha Road</t>
  </si>
  <si>
    <t>Nagpur</t>
  </si>
  <si>
    <t>Nagpur Urban</t>
  </si>
  <si>
    <t>RD0243</t>
  </si>
  <si>
    <t>MH Urban Road – Pune Expressway City Stretch</t>
  </si>
  <si>
    <t>Wakad</t>
  </si>
  <si>
    <t>Hadapsar</t>
  </si>
  <si>
    <t>Pune Urban</t>
  </si>
  <si>
    <t>RD0244</t>
  </si>
  <si>
    <t>Mumbai–Nagpur Samruddhi Expressway</t>
  </si>
  <si>
    <t>Mumbai, Nashik, Aurangabad, Amravati, Nagpur</t>
  </si>
  <si>
    <t>Thane, Nashik, Aurangabad, Amravati, Nagpur</t>
  </si>
  <si>
    <t>MH Samruddhi</t>
  </si>
  <si>
    <t>RD0245</t>
  </si>
  <si>
    <t>Mumbai–Pune Expressway (NH-48)</t>
  </si>
  <si>
    <t>Mumbai, Khopoli, Pune</t>
  </si>
  <si>
    <t>Mumbai, Raigad, Pune</t>
  </si>
  <si>
    <t>Western MH</t>
  </si>
  <si>
    <t>RD0246</t>
  </si>
  <si>
    <t>NH-48 Delhi–Mumbai (MH Section)</t>
  </si>
  <si>
    <t>Nashik, Bhiwandi, Thane, Mumbai</t>
  </si>
  <si>
    <t>Nashik, Thane, Mumbai</t>
  </si>
  <si>
    <t>West MH</t>
  </si>
  <si>
    <t>RD0247</t>
  </si>
  <si>
    <t>NH-53 Nagpur–Raipur (MH Side)</t>
  </si>
  <si>
    <t>Wardha</t>
  </si>
  <si>
    <t>Nagpur, Wardha</t>
  </si>
  <si>
    <t>Vidarbha</t>
  </si>
  <si>
    <t>RD0248</t>
  </si>
  <si>
    <t>NH-60 Pune–Nashik</t>
  </si>
  <si>
    <t>Pune, Chakan, Nashik</t>
  </si>
  <si>
    <t>Pune, Nashik</t>
  </si>
  <si>
    <t>RD0249</t>
  </si>
  <si>
    <t>NH-61 Thane–Bhiwandi</t>
  </si>
  <si>
    <t>Bhiwandi</t>
  </si>
  <si>
    <t>Thane, Bhiwandi</t>
  </si>
  <si>
    <t>MMR Region</t>
  </si>
  <si>
    <t>RD0250</t>
  </si>
  <si>
    <t>NH-753 Amravati–Wardha Vidarbha</t>
  </si>
  <si>
    <t>Amravati</t>
  </si>
  <si>
    <t>Amravati, Wardha</t>
  </si>
  <si>
    <t>RD0251</t>
  </si>
  <si>
    <t>Pune–Solapur NH-65</t>
  </si>
  <si>
    <t>Pune, Lonand, Solapur</t>
  </si>
  <si>
    <t>Pune, Solapur</t>
  </si>
  <si>
    <t>South MH</t>
  </si>
  <si>
    <t>RD0252</t>
  </si>
  <si>
    <t>Rural Road – Konkan Coastal Villages</t>
  </si>
  <si>
    <t>Ratnagiri</t>
  </si>
  <si>
    <t>Sindhudurg</t>
  </si>
  <si>
    <t>Ratnagiri, Rajapur, Sindhudurg</t>
  </si>
  <si>
    <t>Ratnagiri, Sindhudurg</t>
  </si>
  <si>
    <t>Konkan</t>
  </si>
  <si>
    <t>RD0253</t>
  </si>
  <si>
    <t>Rural Road – Marathwada Drought Region</t>
  </si>
  <si>
    <t>Osmanabad</t>
  </si>
  <si>
    <t>Latur</t>
  </si>
  <si>
    <t>Osmanabad, Latur</t>
  </si>
  <si>
    <t>RD0254</t>
  </si>
  <si>
    <t>Rural Road – Vidarbha Cotton Belt</t>
  </si>
  <si>
    <t>Yavatmal</t>
  </si>
  <si>
    <t>Washim</t>
  </si>
  <si>
    <t>Yavatmal, Washim</t>
  </si>
  <si>
    <t>RD0255</t>
  </si>
  <si>
    <t>SH-109 Nashik–Igatpuri</t>
  </si>
  <si>
    <t>Igatpuri</t>
  </si>
  <si>
    <t>Nashik, Igatpuri</t>
  </si>
  <si>
    <t>RD0256</t>
  </si>
  <si>
    <t>SH-60 Kolhapur–Sangli</t>
  </si>
  <si>
    <t>Kolhapur</t>
  </si>
  <si>
    <t>Sangli</t>
  </si>
  <si>
    <t>Kolhapur, Sangli</t>
  </si>
  <si>
    <t>RD0257</t>
  </si>
  <si>
    <t>Manipur</t>
  </si>
  <si>
    <t>MN MDR – Thoubal–Kakching</t>
  </si>
  <si>
    <t>Thoubal</t>
  </si>
  <si>
    <t>Kakching</t>
  </si>
  <si>
    <t>Thoubal, Kakching</t>
  </si>
  <si>
    <t>Imphal Valley</t>
  </si>
  <si>
    <t>RD0258</t>
  </si>
  <si>
    <t>MN SH-2 Imphal–Jiribam</t>
  </si>
  <si>
    <t>Imphal</t>
  </si>
  <si>
    <t>Imphal, Jiribam</t>
  </si>
  <si>
    <t>Imphal West, Jiribam</t>
  </si>
  <si>
    <t>West Manipur</t>
  </si>
  <si>
    <t>RD0259</t>
  </si>
  <si>
    <t>MN SH-6 Senapati–Kangpokpi</t>
  </si>
  <si>
    <t>Senapati</t>
  </si>
  <si>
    <t>Kangpokpi</t>
  </si>
  <si>
    <t>Senapati, Kangpokpi</t>
  </si>
  <si>
    <t>RD0260</t>
  </si>
  <si>
    <t>MN Urban Road – Imphal City</t>
  </si>
  <si>
    <t>Keishampat</t>
  </si>
  <si>
    <t>Thangal Bazaar</t>
  </si>
  <si>
    <t>Imphal West</t>
  </si>
  <si>
    <t>Imphal Urban</t>
  </si>
  <si>
    <t>RD0261</t>
  </si>
  <si>
    <t>NH-150 Jiribam–Imphal–Moreh Highway</t>
  </si>
  <si>
    <t>Moreh</t>
  </si>
  <si>
    <t>Jiribam, Imphal, Moreh</t>
  </si>
  <si>
    <t>Jiribam, Imphal, Chandel</t>
  </si>
  <si>
    <t>Trans-Manipur</t>
  </si>
  <si>
    <t>RD0262</t>
  </si>
  <si>
    <t>NH-2 Imphal–Moreh (India–Myanmar)</t>
  </si>
  <si>
    <t>Imphal, Thoubal, Moreh</t>
  </si>
  <si>
    <t>Imphal East, Thoubal, Chandel</t>
  </si>
  <si>
    <t>South Manipur</t>
  </si>
  <si>
    <t>RD0263</t>
  </si>
  <si>
    <t>NH-37 Imphal–Jiribam</t>
  </si>
  <si>
    <t>RD0264</t>
  </si>
  <si>
    <t>NH-53 Imphal–Kohima</t>
  </si>
  <si>
    <t>Kohima border</t>
  </si>
  <si>
    <t>Imphal, Senapati, Kohima</t>
  </si>
  <si>
    <t>Imphal West, Senapati</t>
  </si>
  <si>
    <t>North Manipur</t>
  </si>
  <si>
    <t>RD0265</t>
  </si>
  <si>
    <t>Rural Road – Chandel Border Villages</t>
  </si>
  <si>
    <t>Chandel</t>
  </si>
  <si>
    <t>Tengnoupal</t>
  </si>
  <si>
    <t>Chandel, Tengnoupal</t>
  </si>
  <si>
    <t>Myanmar Border</t>
  </si>
  <si>
    <t>RD0266</t>
  </si>
  <si>
    <t>Rural Road – Churachandpur Remote</t>
  </si>
  <si>
    <t>Churachandpur</t>
  </si>
  <si>
    <t>Thanlon</t>
  </si>
  <si>
    <t>Churachandpur, Thanlon</t>
  </si>
  <si>
    <t>South Hill District</t>
  </si>
  <si>
    <t>RD0267</t>
  </si>
  <si>
    <t>Rural Road – Senapati District</t>
  </si>
  <si>
    <t>Mao</t>
  </si>
  <si>
    <t>Senapati, Mao</t>
  </si>
  <si>
    <t>RD0268</t>
  </si>
  <si>
    <t>Rural Road – Tamenglong Connectivity</t>
  </si>
  <si>
    <t>Tamenglong</t>
  </si>
  <si>
    <t>Nungba</t>
  </si>
  <si>
    <t>Tamenglong, Nungba</t>
  </si>
  <si>
    <t>West Hill</t>
  </si>
  <si>
    <t>RD0269</t>
  </si>
  <si>
    <t>Rural Road – Ukhrul Hill Road</t>
  </si>
  <si>
    <t>Ukhrul</t>
  </si>
  <si>
    <t>Shirui</t>
  </si>
  <si>
    <t>Ukhrul, Shirui</t>
  </si>
  <si>
    <t>Northeast Hill</t>
  </si>
  <si>
    <t>RD0270</t>
  </si>
  <si>
    <t>SH-1 Imphal–Ukhrul</t>
  </si>
  <si>
    <t>Imphal, Ukhrul</t>
  </si>
  <si>
    <t>Imphal East, Ukhrul</t>
  </si>
  <si>
    <t>Northeast Manipur</t>
  </si>
  <si>
    <t>RD0271</t>
  </si>
  <si>
    <t>SH-10 Bishnupur–Churachandpur</t>
  </si>
  <si>
    <t>Bishnupur</t>
  </si>
  <si>
    <t>Bishnupur, Churachandpur</t>
  </si>
  <si>
    <t>RD0272</t>
  </si>
  <si>
    <t>Village Road – Pherzawl District</t>
  </si>
  <si>
    <t>Pherzawl</t>
  </si>
  <si>
    <t>Vangai Range</t>
  </si>
  <si>
    <t>South Hill</t>
  </si>
  <si>
    <t>RD0273</t>
  </si>
  <si>
    <t>Meghalaya</t>
  </si>
  <si>
    <t>MG MDR – Shillong–Cherrapunji</t>
  </si>
  <si>
    <t>Shillong</t>
  </si>
  <si>
    <t>Cherrapunji</t>
  </si>
  <si>
    <t>Shillong, Cherrapunji</t>
  </si>
  <si>
    <t>East Khasi Hills</t>
  </si>
  <si>
    <t>Meghalaya Hills</t>
  </si>
  <si>
    <t>RD0274</t>
  </si>
  <si>
    <t>MG MDR – Tura–Phulbari</t>
  </si>
  <si>
    <t>Tura</t>
  </si>
  <si>
    <t>Phulbari</t>
  </si>
  <si>
    <t>Tura, Phulbari</t>
  </si>
  <si>
    <t>West Garo Hills</t>
  </si>
  <si>
    <t>Garo Hills</t>
  </si>
  <si>
    <t>RD0275</t>
  </si>
  <si>
    <t>MG SH-5 Shillong–Jowai</t>
  </si>
  <si>
    <t>Jowai</t>
  </si>
  <si>
    <t>Shillong, Jowai</t>
  </si>
  <si>
    <t>East Khasi Hills, West Jaintia Hills</t>
  </si>
  <si>
    <t>Eastern Meghalaya</t>
  </si>
  <si>
    <t>RD0276</t>
  </si>
  <si>
    <t>MG Urban Road – Shillong City</t>
  </si>
  <si>
    <t>Police Bazaar</t>
  </si>
  <si>
    <t>Laitumkhrah</t>
  </si>
  <si>
    <t>Shillong Urban</t>
  </si>
  <si>
    <t>RD0277</t>
  </si>
  <si>
    <t>NH-44A Shillong–Dawki</t>
  </si>
  <si>
    <t>Dawki</t>
  </si>
  <si>
    <t>Shillong, Pynursla, Dawki</t>
  </si>
  <si>
    <t>Bangladesh Border</t>
  </si>
  <si>
    <t>RD0278</t>
  </si>
  <si>
    <t>NH-51 Dalu–Phulbari</t>
  </si>
  <si>
    <t>Dalu</t>
  </si>
  <si>
    <t>Dalu, Tura, Phulbari</t>
  </si>
  <si>
    <t>RD0279</t>
  </si>
  <si>
    <t>NH-6 Guwahati–Shillong</t>
  </si>
  <si>
    <t>Guwahati border</t>
  </si>
  <si>
    <t>Jorabat, Ri Bhoi, Shillong</t>
  </si>
  <si>
    <t>Ri Bhoi, East Khasi Hills</t>
  </si>
  <si>
    <t>South Meghalaya</t>
  </si>
  <si>
    <t>RD0280</t>
  </si>
  <si>
    <t>NH-62 Barapani–Nongstoin</t>
  </si>
  <si>
    <t>Barapani</t>
  </si>
  <si>
    <t>Nongstoin</t>
  </si>
  <si>
    <t>Ri Bhoi, Nongstoin</t>
  </si>
  <si>
    <t>Ri Bhoi, W Khasi Hills</t>
  </si>
  <si>
    <t>West Meghalaya</t>
  </si>
  <si>
    <t>RD0281</t>
  </si>
  <si>
    <t>Rural Road – Garo Hills Villages</t>
  </si>
  <si>
    <t>Resubelpara</t>
  </si>
  <si>
    <t>Tura, Resubelpara</t>
  </si>
  <si>
    <t>W Garo Hills, N Garo Hills</t>
  </si>
  <si>
    <t>Garo Region</t>
  </si>
  <si>
    <t>RD0282</t>
  </si>
  <si>
    <t>Rural Road – Jaintia Hills Limestone</t>
  </si>
  <si>
    <t>Amlarem</t>
  </si>
  <si>
    <t>Jowai, Amlarem</t>
  </si>
  <si>
    <t>West Jaintia Hills</t>
  </si>
  <si>
    <t>Jaintia Hills</t>
  </si>
  <si>
    <t>RD0283</t>
  </si>
  <si>
    <t>Rural Road – Ri Bhoi District</t>
  </si>
  <si>
    <t>Nongpoh</t>
  </si>
  <si>
    <t>Umsning</t>
  </si>
  <si>
    <t>Nongpoh, Umsning</t>
  </si>
  <si>
    <t>Ri Bhoi</t>
  </si>
  <si>
    <t>RD0284</t>
  </si>
  <si>
    <t>SH-1 Shillong–Nongstoin</t>
  </si>
  <si>
    <t>Shillong, Nongstoin</t>
  </si>
  <si>
    <t>East Khasi Hills, W Khasi Hills</t>
  </si>
  <si>
    <t>RD0285</t>
  </si>
  <si>
    <t>SH-2 Tura–Ampati</t>
  </si>
  <si>
    <t>Ampati</t>
  </si>
  <si>
    <t>Tura, Ampati</t>
  </si>
  <si>
    <t>West Garo Hills, South Garo Hills</t>
  </si>
  <si>
    <t>South Garo</t>
  </si>
  <si>
    <t>RD0286</t>
  </si>
  <si>
    <t>SH-9 Shillong–Mawlynnong</t>
  </si>
  <si>
    <t>Mawlynnong</t>
  </si>
  <si>
    <t>Shillong, Mawlynnong</t>
  </si>
  <si>
    <t>India–Bangladesh Border</t>
  </si>
  <si>
    <t>RD0287</t>
  </si>
  <si>
    <t>Village Road – East Khasi Hills Remote</t>
  </si>
  <si>
    <t>Mawkyrwat</t>
  </si>
  <si>
    <t>Ranikor</t>
  </si>
  <si>
    <t>Mawkyrwat, Ranikor</t>
  </si>
  <si>
    <t>South W Khasi Hills</t>
  </si>
  <si>
    <t>Remote Meghalaya</t>
  </si>
  <si>
    <t>RD0288</t>
  </si>
  <si>
    <t>Mizoram</t>
  </si>
  <si>
    <t>MZ MDR – Aizawl–Champhai (Secondary)</t>
  </si>
  <si>
    <t>Aizawl</t>
  </si>
  <si>
    <t>Serchhip</t>
  </si>
  <si>
    <t>Aizawl, Serchhip</t>
  </si>
  <si>
    <t>Central Mizoram</t>
  </si>
  <si>
    <t>RD0289</t>
  </si>
  <si>
    <t>MZ Rural – Lawngtlai Remote</t>
  </si>
  <si>
    <t>Lawngtlai</t>
  </si>
  <si>
    <t>Chawngte</t>
  </si>
  <si>
    <t>Lawngtlai, Chawngte</t>
  </si>
  <si>
    <t>South Mizoram</t>
  </si>
  <si>
    <t>RD0290</t>
  </si>
  <si>
    <t>MZ SH-1 Aizawl–Champhai</t>
  </si>
  <si>
    <t>Champhai</t>
  </si>
  <si>
    <t>Aizawl, Champhai</t>
  </si>
  <si>
    <t>East Mizoram</t>
  </si>
  <si>
    <t>RD0291</t>
  </si>
  <si>
    <t>MZ SH-5 Aizawl–Lunglei</t>
  </si>
  <si>
    <t>Lunglei</t>
  </si>
  <si>
    <t>Aizawl, Lunglei</t>
  </si>
  <si>
    <t>RD0292</t>
  </si>
  <si>
    <t>MZ Urban Road – Aizawl City</t>
  </si>
  <si>
    <t>Zarkawt</t>
  </si>
  <si>
    <t>Dawrpui</t>
  </si>
  <si>
    <t>Aizawl Urban</t>
  </si>
  <si>
    <t>RD0293</t>
  </si>
  <si>
    <t>NH-306 Aizawl–Champhai (Alternate)</t>
  </si>
  <si>
    <t>Aizawl, Khawzawl, Champhai</t>
  </si>
  <si>
    <t>RD0294</t>
  </si>
  <si>
    <t>NH-502 Lunglei–Tlabung</t>
  </si>
  <si>
    <t>Tlabung</t>
  </si>
  <si>
    <t>Lunglei, Tlabung</t>
  </si>
  <si>
    <t>RD0295</t>
  </si>
  <si>
    <t>NH-54 Aizawl–Silchar</t>
  </si>
  <si>
    <t>Silchar border</t>
  </si>
  <si>
    <t>Aizawl, Vairengte, Silchar</t>
  </si>
  <si>
    <t>Aizawl, Kolasib</t>
  </si>
  <si>
    <t>North Mizoram</t>
  </si>
  <si>
    <t>RD0296</t>
  </si>
  <si>
    <t>Rural Road – Champhai Border</t>
  </si>
  <si>
    <t>Zokhawthar</t>
  </si>
  <si>
    <t>Champhai, Zokhawthar</t>
  </si>
  <si>
    <t>RD0297</t>
  </si>
  <si>
    <t>Rural Road – Hnahthial District</t>
  </si>
  <si>
    <t>Hnahthial</t>
  </si>
  <si>
    <t>Thenzawl</t>
  </si>
  <si>
    <t>Hnahthial, Thenzawl</t>
  </si>
  <si>
    <t>RD0298</t>
  </si>
  <si>
    <t>Rural Road – Kolasib–Bairabi</t>
  </si>
  <si>
    <t>Kolasib</t>
  </si>
  <si>
    <t>Bairabi</t>
  </si>
  <si>
    <t>Kolasib, Bairabi</t>
  </si>
  <si>
    <t>Kolasib, Mamit</t>
  </si>
  <si>
    <t>RD0299</t>
  </si>
  <si>
    <t>Rural Road – Mamit District Road</t>
  </si>
  <si>
    <t>Mamit</t>
  </si>
  <si>
    <t>Lungpher</t>
  </si>
  <si>
    <t>Mamit, Lungpher</t>
  </si>
  <si>
    <t>Northwest Mizoram</t>
  </si>
  <si>
    <t>RD0300</t>
  </si>
  <si>
    <t>Rural Road – Saitual District</t>
  </si>
  <si>
    <t>Saitual</t>
  </si>
  <si>
    <t>Thingsulthliah</t>
  </si>
  <si>
    <t>Saitual, Thingsulthliah</t>
  </si>
  <si>
    <t>RD0301</t>
  </si>
  <si>
    <t>SH-4 Lunglei–Lawngtlai</t>
  </si>
  <si>
    <t>Lunglei, Lawngtlai</t>
  </si>
  <si>
    <t>RD0302</t>
  </si>
  <si>
    <t>Village Road – Saiha District Remote</t>
  </si>
  <si>
    <t>Saiha</t>
  </si>
  <si>
    <t>Tuipang</t>
  </si>
  <si>
    <t>Saiha, Tuipang</t>
  </si>
  <si>
    <t>Southernmost Mizoram</t>
  </si>
  <si>
    <t>RD0303</t>
  </si>
  <si>
    <t>Nagaland</t>
  </si>
  <si>
    <t>NH-155 Kohima–Jessami</t>
  </si>
  <si>
    <t>Kohima</t>
  </si>
  <si>
    <t>Jessami</t>
  </si>
  <si>
    <t>Kohima, Senapati cross, Jessami</t>
  </si>
  <si>
    <t>Kohima, Manipur border</t>
  </si>
  <si>
    <t>Southeast NL</t>
  </si>
  <si>
    <t>RD0304</t>
  </si>
  <si>
    <t>NH-29 Dimapur–Kohima</t>
  </si>
  <si>
    <t>Dimapur</t>
  </si>
  <si>
    <t>Dimapur, Kohima</t>
  </si>
  <si>
    <t>Central NL</t>
  </si>
  <si>
    <t>RD0305</t>
  </si>
  <si>
    <t>NH-39 Imphal–Dimapur (NL section)</t>
  </si>
  <si>
    <t>Kohima, Zubza, Dimapur</t>
  </si>
  <si>
    <t>Kohima, Dimapur</t>
  </si>
  <si>
    <t>West Nagaland</t>
  </si>
  <si>
    <t>RD0306</t>
  </si>
  <si>
    <t>NL MDR – Wokha–Mokokchung</t>
  </si>
  <si>
    <t>Wokha</t>
  </si>
  <si>
    <t>Mokokchung</t>
  </si>
  <si>
    <t>Wokha, Mokokchung</t>
  </si>
  <si>
    <t>North Nagaland</t>
  </si>
  <si>
    <t>RD0307</t>
  </si>
  <si>
    <t>NL Rural – Mon–Aboi</t>
  </si>
  <si>
    <t>Mon</t>
  </si>
  <si>
    <t>Aboi</t>
  </si>
  <si>
    <t>Mon, Aboi</t>
  </si>
  <si>
    <t>Extreme North NL</t>
  </si>
  <si>
    <t>RD0308</t>
  </si>
  <si>
    <t>NL SH-36 Kohima–Phek</t>
  </si>
  <si>
    <t>Phek</t>
  </si>
  <si>
    <t>Kohima, Phek</t>
  </si>
  <si>
    <t>East Nagaland</t>
  </si>
  <si>
    <t>RD0309</t>
  </si>
  <si>
    <t>NL Urban Road – Dimapur City</t>
  </si>
  <si>
    <t>Dimapur Town</t>
  </si>
  <si>
    <t>Chümoukedima</t>
  </si>
  <si>
    <t>Dimapur Urban</t>
  </si>
  <si>
    <t>RD0310</t>
  </si>
  <si>
    <t>NL Urban Road – Kohima City</t>
  </si>
  <si>
    <t>Main Town</t>
  </si>
  <si>
    <t>Merhulietou</t>
  </si>
  <si>
    <t>Kohima Urban</t>
  </si>
  <si>
    <t>RD0311</t>
  </si>
  <si>
    <t>Rural Road – Kiphire District</t>
  </si>
  <si>
    <t>Kiphire</t>
  </si>
  <si>
    <t>Seyochung</t>
  </si>
  <si>
    <t>Kiphire, Seyochung</t>
  </si>
  <si>
    <t>Remote East NL</t>
  </si>
  <si>
    <t>RD0312</t>
  </si>
  <si>
    <t>Rural Road – Longleng Remote</t>
  </si>
  <si>
    <t>Longleng</t>
  </si>
  <si>
    <t>Tamlu</t>
  </si>
  <si>
    <t>Longleng, Tamlu</t>
  </si>
  <si>
    <t>Northeast NL</t>
  </si>
  <si>
    <t>RD0313</t>
  </si>
  <si>
    <t>Rural Road – Mon District Border</t>
  </si>
  <si>
    <t>Wakching</t>
  </si>
  <si>
    <t>Mon, Wakching</t>
  </si>
  <si>
    <t>RD0314</t>
  </si>
  <si>
    <t>Rural Road – Noklak Frontier</t>
  </si>
  <si>
    <t>Noklak</t>
  </si>
  <si>
    <t>Tizit</t>
  </si>
  <si>
    <t>Noklak, Tizit</t>
  </si>
  <si>
    <t>Extreme East NL</t>
  </si>
  <si>
    <t>RD0315</t>
  </si>
  <si>
    <t>Rural Road – Tseminyü Remote</t>
  </si>
  <si>
    <t>Tseminyu</t>
  </si>
  <si>
    <t>Rengma</t>
  </si>
  <si>
    <t>Tseminyu, Rengma</t>
  </si>
  <si>
    <t>Tseminyü</t>
  </si>
  <si>
    <t>RD0316</t>
  </si>
  <si>
    <t>SH-1 Dimapur–Mokokchung</t>
  </si>
  <si>
    <t>Dimapur, Mokokchung</t>
  </si>
  <si>
    <t>North NL</t>
  </si>
  <si>
    <t>RD0317</t>
  </si>
  <si>
    <t>SH-2 Kohima–Zunheboto</t>
  </si>
  <si>
    <t>Zunheboto</t>
  </si>
  <si>
    <t>Kohima, Zunheboto</t>
  </si>
  <si>
    <t>RD0318</t>
  </si>
  <si>
    <t>Odisha</t>
  </si>
  <si>
    <t>NH-16 Bhubaneswar–Berhampur–Visakhapatnam</t>
  </si>
  <si>
    <t>Bhubaneswar</t>
  </si>
  <si>
    <t>Visakhapatnam border</t>
  </si>
  <si>
    <t>Bhubaneswar, Berhampur, Puri bypass</t>
  </si>
  <si>
    <t>Khordha, Ganjam</t>
  </si>
  <si>
    <t>Coastal Odisha</t>
  </si>
  <si>
    <t>RD0319</t>
  </si>
  <si>
    <t>NH-20 Raipur–Titlagarh</t>
  </si>
  <si>
    <t>Titlagarh</t>
  </si>
  <si>
    <t>Raipur border</t>
  </si>
  <si>
    <t>Titlagarh, Bolangir, Raipur side</t>
  </si>
  <si>
    <t>Bolangir</t>
  </si>
  <si>
    <t>West Odisha</t>
  </si>
  <si>
    <t>RD0320</t>
  </si>
  <si>
    <t>NH-26 Raipur–Jabalpur (OD side)</t>
  </si>
  <si>
    <t>Sambalpur</t>
  </si>
  <si>
    <t>Raigarh border</t>
  </si>
  <si>
    <t>Sambalpur, Jharsuguda, Raigarh</t>
  </si>
  <si>
    <t>Sambalpur, Jharsuguda</t>
  </si>
  <si>
    <t>North Odisha</t>
  </si>
  <si>
    <t>RD0321</t>
  </si>
  <si>
    <t>NH-53 Bhubaneswar–Sambalpur</t>
  </si>
  <si>
    <t>Bhubaneswar, Cuttack, Angul, Sambalpur</t>
  </si>
  <si>
    <t>Khordha, Cuttack, Angul, Sambalpur</t>
  </si>
  <si>
    <t>Central OD</t>
  </si>
  <si>
    <t>RD0322</t>
  </si>
  <si>
    <t>NH-57 Rourkela–Sambalpur (fast)</t>
  </si>
  <si>
    <t>Rourkela</t>
  </si>
  <si>
    <t>Rourkela, Sambalpur</t>
  </si>
  <si>
    <t>Sundargarh, Sambalpur</t>
  </si>
  <si>
    <t>West OD</t>
  </si>
  <si>
    <t>RD0323</t>
  </si>
  <si>
    <t>NH-60 Kolkata–Kharagpur–Bhubaneswar</t>
  </si>
  <si>
    <t>Baripada</t>
  </si>
  <si>
    <t>Baripada, Balasore, Bhubaneswar</t>
  </si>
  <si>
    <t>Mayurbhanj, Balasore, Bhadrak</t>
  </si>
  <si>
    <t>North Coastal OD</t>
  </si>
  <si>
    <t>RD0324</t>
  </si>
  <si>
    <t>OD MDR – Berhampur–Chatrapur</t>
  </si>
  <si>
    <t>Berhampur</t>
  </si>
  <si>
    <t>Chatrapur</t>
  </si>
  <si>
    <t>Berhampur, Chatrapur</t>
  </si>
  <si>
    <t>Ganjam</t>
  </si>
  <si>
    <t>Ganjam Coast</t>
  </si>
  <si>
    <t>O</t>
  </si>
  <si>
    <t>RD0325</t>
  </si>
  <si>
    <t>OD MDR – Cuttack–Paradip Port Road</t>
  </si>
  <si>
    <t>Cuttack</t>
  </si>
  <si>
    <t>Paradip</t>
  </si>
  <si>
    <t>Cuttack, Kendrapara, Paradip</t>
  </si>
  <si>
    <t>Cuttack, Kendrapara, Jagatsinghpur</t>
  </si>
  <si>
    <t>Mahanadi Delta</t>
  </si>
  <si>
    <t>RD0326</t>
  </si>
  <si>
    <t>OD SH-17 Sambalpur–Rourkela</t>
  </si>
  <si>
    <t>Sambalpur, Jharsuguda, Rourkela</t>
  </si>
  <si>
    <t>Sambalpur, Jharsuguda, Sundargarh</t>
  </si>
  <si>
    <t>RD0327</t>
  </si>
  <si>
    <t>OD SH-57 Koraput–Jeypore</t>
  </si>
  <si>
    <t>Koraput</t>
  </si>
  <si>
    <t>Jeypore</t>
  </si>
  <si>
    <t>Koraput, Jeypore</t>
  </si>
  <si>
    <t>Southern Odisha</t>
  </si>
  <si>
    <t>RD0328</t>
  </si>
  <si>
    <t>OD Urban Road – Bhubaneswar IT City</t>
  </si>
  <si>
    <t>Rasulgarh</t>
  </si>
  <si>
    <t>Infocity</t>
  </si>
  <si>
    <t>Khordha</t>
  </si>
  <si>
    <t>Bhubaneswar Urban</t>
  </si>
  <si>
    <t>RD0329</t>
  </si>
  <si>
    <t>OD Urban Road – Cuttack City</t>
  </si>
  <si>
    <t>Buxi Bazaar</t>
  </si>
  <si>
    <t>Chauliaganj</t>
  </si>
  <si>
    <t>Cuttack Urban</t>
  </si>
  <si>
    <t>RD0330</t>
  </si>
  <si>
    <t>OD Urban Road – Rourkela Steel City</t>
  </si>
  <si>
    <t>Civil Township</t>
  </si>
  <si>
    <t>Panposh</t>
  </si>
  <si>
    <t>Sundargarh</t>
  </si>
  <si>
    <t>Rourkela Urban</t>
  </si>
  <si>
    <t>RD0331</t>
  </si>
  <si>
    <t>Paradip Port Industrial Access Road</t>
  </si>
  <si>
    <t>Paradip Port</t>
  </si>
  <si>
    <t>Jagatsinghpur</t>
  </si>
  <si>
    <t>Paradip, Jagatsinghpur</t>
  </si>
  <si>
    <t>Port Region</t>
  </si>
  <si>
    <t>P</t>
  </si>
  <si>
    <t>RD0332</t>
  </si>
  <si>
    <t>Rural Road – Gajapati Tribal</t>
  </si>
  <si>
    <t>Paralakhemundi</t>
  </si>
  <si>
    <t>Mohana</t>
  </si>
  <si>
    <t>Paralakhemundi, Mohana</t>
  </si>
  <si>
    <t>Gajapati</t>
  </si>
  <si>
    <t>South OD Tribal</t>
  </si>
  <si>
    <t>RD0333</t>
  </si>
  <si>
    <t>Rural Road – Koraput Tribal Road</t>
  </si>
  <si>
    <t>Nabarangpur</t>
  </si>
  <si>
    <t>Koraput, Nabarangpur</t>
  </si>
  <si>
    <t>Southern OD</t>
  </si>
  <si>
    <t>RD0334</t>
  </si>
  <si>
    <t>Rural Road – Malkangiri Remote</t>
  </si>
  <si>
    <t>Malkangiri</t>
  </si>
  <si>
    <t>Mathili</t>
  </si>
  <si>
    <t>Malkangiri, Mathili</t>
  </si>
  <si>
    <t>Extreme South OD</t>
  </si>
  <si>
    <t>RD0335</t>
  </si>
  <si>
    <t>SH-3 Puri–Konark–Bhubaneswar</t>
  </si>
  <si>
    <t>Puri</t>
  </si>
  <si>
    <t>Puri, Konark, Bhubaneswar</t>
  </si>
  <si>
    <t>Puri, Khordha</t>
  </si>
  <si>
    <t>Heritage Circuit</t>
  </si>
  <si>
    <t>RD0336</t>
  </si>
  <si>
    <t>Village Road – Mayurbhanj Forest Road</t>
  </si>
  <si>
    <t>Jashipur</t>
  </si>
  <si>
    <t>Baripada, Jashipur</t>
  </si>
  <si>
    <t>Mayurbhanj</t>
  </si>
  <si>
    <t>Forest Belt</t>
  </si>
  <si>
    <t>RD0337</t>
  </si>
  <si>
    <t>Punjab</t>
  </si>
  <si>
    <t>Delhi–Amritsar–Katra Expressway (Punjab)</t>
  </si>
  <si>
    <t>Ambala border</t>
  </si>
  <si>
    <t>Amritsar</t>
  </si>
  <si>
    <t>Ambala, Ludhiana, Jalandhar, Amritsar</t>
  </si>
  <si>
    <t>Punjab Expressway</t>
  </si>
  <si>
    <t>RD0338</t>
  </si>
  <si>
    <t>NH-1 Delhi–Amritsar (Grand Trunk Road)</t>
  </si>
  <si>
    <t>GT Road</t>
  </si>
  <si>
    <t>RD0339</t>
  </si>
  <si>
    <t>NH-21 Chandigarh–Manali (Punjab)</t>
  </si>
  <si>
    <t>Ropar</t>
  </si>
  <si>
    <t>Chandigarh, Ropar</t>
  </si>
  <si>
    <t>SAS Nagar, Rupnagar</t>
  </si>
  <si>
    <t>Punjab NH</t>
  </si>
  <si>
    <t>RD0340</t>
  </si>
  <si>
    <t>NH-3 Ludhiana–Bathinda</t>
  </si>
  <si>
    <t>Ludhiana</t>
  </si>
  <si>
    <t>Bathinda</t>
  </si>
  <si>
    <t>Ludhiana, Moga, Faridkot, Bathinda</t>
  </si>
  <si>
    <t>South Punjab</t>
  </si>
  <si>
    <t>RD0341</t>
  </si>
  <si>
    <t>NH-44 Punjab Stretch</t>
  </si>
  <si>
    <t>Pathankot</t>
  </si>
  <si>
    <t>Ambala, Ludhiana, Jalandhar, Pathankot</t>
  </si>
  <si>
    <t>Ambala, Ludhiana, Jalandhar</t>
  </si>
  <si>
    <t>Punjab GT Road</t>
  </si>
  <si>
    <t>RD0342</t>
  </si>
  <si>
    <t>NH-7 Pathankot–Jammu</t>
  </si>
  <si>
    <t>Jammu border</t>
  </si>
  <si>
    <t>Pathankot, Jammu</t>
  </si>
  <si>
    <t>J&amp;K Gateway</t>
  </si>
  <si>
    <t>RD0343</t>
  </si>
  <si>
    <t>NH-95 Ferozepur–Amritsar</t>
  </si>
  <si>
    <t>Ferozepur</t>
  </si>
  <si>
    <t>Ferozepur, Amritsar</t>
  </si>
  <si>
    <t>West Punjab</t>
  </si>
  <si>
    <t>RD0344</t>
  </si>
  <si>
    <t>PB MDR – Ferozepur–Fazilka</t>
  </si>
  <si>
    <t>Fazilka</t>
  </si>
  <si>
    <t>Ferozepur, Fazilka</t>
  </si>
  <si>
    <t>SW Punjab</t>
  </si>
  <si>
    <t>RD0345</t>
  </si>
  <si>
    <t>PB MDR – Ropar–Anandpur Sahib</t>
  </si>
  <si>
    <t>Anandpur Sahib</t>
  </si>
  <si>
    <t>Ropar, Anandpur Sahib</t>
  </si>
  <si>
    <t>Rupnagar, Rupnagar</t>
  </si>
  <si>
    <t>Rupnagar</t>
  </si>
  <si>
    <t>RD0346</t>
  </si>
  <si>
    <t>PB SH-12 Amritsar–Pathankot</t>
  </si>
  <si>
    <t>Amritsar, Gurdaspur, Pathankot</t>
  </si>
  <si>
    <t>North Punjab</t>
  </si>
  <si>
    <t>RD0347</t>
  </si>
  <si>
    <t>PB SH-8 Ludhiana–Fatehgarh Sahib</t>
  </si>
  <si>
    <t>Fatehgarh Sahib</t>
  </si>
  <si>
    <t>Ludhiana, Fatehgarh Sahib</t>
  </si>
  <si>
    <t>Central Punjab</t>
  </si>
  <si>
    <t>RD0348</t>
  </si>
  <si>
    <t>PB Urban Road – Amritsar Golden Temple Rd</t>
  </si>
  <si>
    <t>Railway Station</t>
  </si>
  <si>
    <t>Golden Temple</t>
  </si>
  <si>
    <t>Amritsar Urban</t>
  </si>
  <si>
    <t>RD0349</t>
  </si>
  <si>
    <t>PB Urban Road – Chandigarh–Mohali</t>
  </si>
  <si>
    <t>Chandigarh Sector 17</t>
  </si>
  <si>
    <t>Mohali Phase 1</t>
  </si>
  <si>
    <t>Chandigarh, Mohali</t>
  </si>
  <si>
    <t>SAS Nagar</t>
  </si>
  <si>
    <t>Chandigarh Urban</t>
  </si>
  <si>
    <t>RD0350</t>
  </si>
  <si>
    <t>PB Urban Road – Ludhiana City</t>
  </si>
  <si>
    <t>Ferozepur Road</t>
  </si>
  <si>
    <t>Ludhiana Urban</t>
  </si>
  <si>
    <t>RD0351</t>
  </si>
  <si>
    <t>Rural Road – Doaba Agricultural Roads</t>
  </si>
  <si>
    <t>Kapurthala</t>
  </si>
  <si>
    <t>Nawanshahar</t>
  </si>
  <si>
    <t>Kapurthala, Nawanshahar</t>
  </si>
  <si>
    <t>Kapurthala, Shahid Bhagat Singh Nagar</t>
  </si>
  <si>
    <t>Doaba</t>
  </si>
  <si>
    <t>RD0352</t>
  </si>
  <si>
    <t>Rural Road – Malwa Cotton Belt</t>
  </si>
  <si>
    <t>Sangrur</t>
  </si>
  <si>
    <t>Mansa</t>
  </si>
  <si>
    <t>Sangrur, Mansa</t>
  </si>
  <si>
    <t>RD0353</t>
  </si>
  <si>
    <t>Village Road – Majha Region</t>
  </si>
  <si>
    <t>Tarn Taran</t>
  </si>
  <si>
    <t>Patti</t>
  </si>
  <si>
    <t>Tarn Taran, Patti</t>
  </si>
  <si>
    <t>Majha</t>
  </si>
  <si>
    <t>RD0354</t>
  </si>
  <si>
    <t>Village Road – Muktsar Agricultural</t>
  </si>
  <si>
    <t>Muktsar</t>
  </si>
  <si>
    <t>Malout</t>
  </si>
  <si>
    <t>Muktsar, Malout</t>
  </si>
  <si>
    <t>Sri Muktsar Sahib</t>
  </si>
  <si>
    <t>Southwest Punjab</t>
  </si>
  <si>
    <t>RD0355</t>
  </si>
  <si>
    <t>Rajasthan</t>
  </si>
  <si>
    <t>Delhi–Mumbai Expressway (Rajasthan Section)</t>
  </si>
  <si>
    <t>Dausa</t>
  </si>
  <si>
    <t>Ratlam border</t>
  </si>
  <si>
    <t>Dausa, Sawai Madhopur, Bundi, Kota, Jhalawar</t>
  </si>
  <si>
    <t>Dausa, Sawai Madhopur, Kota, Jhalawar</t>
  </si>
  <si>
    <t>SE Rajasthan</t>
  </si>
  <si>
    <t>RD0356</t>
  </si>
  <si>
    <t>NH-11 Agra–Bikaner</t>
  </si>
  <si>
    <t>Bharatpur</t>
  </si>
  <si>
    <t>Bikaner</t>
  </si>
  <si>
    <t>Bharatpur, Dausa, Jaipur, Bikaner</t>
  </si>
  <si>
    <t>North Rajasthan</t>
  </si>
  <si>
    <t>RD0357</t>
  </si>
  <si>
    <t>NH-12 Jaipur–Jabalpur (Rajasthan)</t>
  </si>
  <si>
    <t>Jaipur</t>
  </si>
  <si>
    <t>Sawai Madhopur</t>
  </si>
  <si>
    <t>Jaipur, Tonk, Sawai Madhopur</t>
  </si>
  <si>
    <t>RD0358</t>
  </si>
  <si>
    <t>NH-25 Lalsot–Kota</t>
  </si>
  <si>
    <t>Kota</t>
  </si>
  <si>
    <t>Dausa, Bundi, Kota</t>
  </si>
  <si>
    <t>RD0359</t>
  </si>
  <si>
    <t>NH-48 Delhi–Mumbai (Rajasthan stretch)</t>
  </si>
  <si>
    <t>Udaipur</t>
  </si>
  <si>
    <t>Gurugram, Jaipur, Ajmer, Udaipur</t>
  </si>
  <si>
    <t>Jaipur, Ajmer, Chittorgarh, Udaipur</t>
  </si>
  <si>
    <t>East Rajasthan</t>
  </si>
  <si>
    <t>RD0360</t>
  </si>
  <si>
    <t>NH-52 Abu Road–Ambaji</t>
  </si>
  <si>
    <t>Abu Road</t>
  </si>
  <si>
    <t>Ambaji border</t>
  </si>
  <si>
    <t>Abu Road, Sirohi, Ambaji</t>
  </si>
  <si>
    <t>Sirohi</t>
  </si>
  <si>
    <t>South Rajasthan</t>
  </si>
  <si>
    <t>RD0361</t>
  </si>
  <si>
    <t>NH-54 Jodhpur–Barmer–Mundra</t>
  </si>
  <si>
    <t>Jodhpur</t>
  </si>
  <si>
    <t>Barmer</t>
  </si>
  <si>
    <t>Jodhpur, Pokhran, Barmer</t>
  </si>
  <si>
    <t>Jodhpur, Jaisalmer, Barmer</t>
  </si>
  <si>
    <t>Desert Highway</t>
  </si>
  <si>
    <t>RD0362</t>
  </si>
  <si>
    <t>NH-79 Ajmer–Chittorgarh–Udaipur</t>
  </si>
  <si>
    <t>Ajmer</t>
  </si>
  <si>
    <t>Ajmer, Bhilwara, Chittorgarh, Udaipur</t>
  </si>
  <si>
    <t>RD0363</t>
  </si>
  <si>
    <t>RJ MDR – Nagaur–Ladnun</t>
  </si>
  <si>
    <t>Nagaur</t>
  </si>
  <si>
    <t>Ladnun</t>
  </si>
  <si>
    <t>Nagaur, Ladnun</t>
  </si>
  <si>
    <t>Central Rajasthan</t>
  </si>
  <si>
    <t>RD0364</t>
  </si>
  <si>
    <t>RJ MDR – Sirohi–Abu Road</t>
  </si>
  <si>
    <t>Sirohi, Abu Road</t>
  </si>
  <si>
    <t>RD0365</t>
  </si>
  <si>
    <t>RJ SH-19 Jodhpur–Barmer</t>
  </si>
  <si>
    <t>Jodhpur, Barmer</t>
  </si>
  <si>
    <t>West Rajasthan</t>
  </si>
  <si>
    <t>RD0366</t>
  </si>
  <si>
    <t>RJ SH-24 Ajmer–Pushkar</t>
  </si>
  <si>
    <t>Pushkar</t>
  </si>
  <si>
    <t>Ajmer, Pushkar</t>
  </si>
  <si>
    <t>Pilgrimage Road</t>
  </si>
  <si>
    <t>RD0367</t>
  </si>
  <si>
    <t>RJ SH-58 Kota–Baran</t>
  </si>
  <si>
    <t>Baran</t>
  </si>
  <si>
    <t>Kota, Baran</t>
  </si>
  <si>
    <t>Hadoti</t>
  </si>
  <si>
    <t>RD0368</t>
  </si>
  <si>
    <t>RJ Urban Road – Jaipur Pink City</t>
  </si>
  <si>
    <t>Badi Chaupar</t>
  </si>
  <si>
    <t>MI Road</t>
  </si>
  <si>
    <t>Jaipur Urban</t>
  </si>
  <si>
    <t>RD0369</t>
  </si>
  <si>
    <t>RJ Urban Road – Jodhpur Blue City</t>
  </si>
  <si>
    <t>Sardar Market</t>
  </si>
  <si>
    <t>Clock Tower</t>
  </si>
  <si>
    <t>Jodhpur Urban</t>
  </si>
  <si>
    <t>RD0370</t>
  </si>
  <si>
    <t>RJ Urban Road – Udaipur Heritage</t>
  </si>
  <si>
    <t>City Palace</t>
  </si>
  <si>
    <t>Fateh Sagar Lake</t>
  </si>
  <si>
    <t>Udaipur Urban</t>
  </si>
  <si>
    <t>RD0371</t>
  </si>
  <si>
    <t>Rural Road – Shekhawati Agricultural</t>
  </si>
  <si>
    <t>Sikar</t>
  </si>
  <si>
    <t>Fatehpur</t>
  </si>
  <si>
    <t>Sikar, Fatehpur</t>
  </si>
  <si>
    <t>Shekhawati</t>
  </si>
  <si>
    <t>RD0372</t>
  </si>
  <si>
    <t>Rural Road – Thar Desert Villages</t>
  </si>
  <si>
    <t>Jaisalmer</t>
  </si>
  <si>
    <t>Sam</t>
  </si>
  <si>
    <t>Jaisalmer, Sam</t>
  </si>
  <si>
    <t>Thar Desert</t>
  </si>
  <si>
    <t>RD0373</t>
  </si>
  <si>
    <t>Village Road – Tribal Banswara</t>
  </si>
  <si>
    <t>Banswara</t>
  </si>
  <si>
    <t>Garhi</t>
  </si>
  <si>
    <t>Banswara, Garhi</t>
  </si>
  <si>
    <t>South Rajasthan Tribal</t>
  </si>
  <si>
    <t>RD0374</t>
  </si>
  <si>
    <t>Village Road – Tribal Dungarpur</t>
  </si>
  <si>
    <t>Dungarpur</t>
  </si>
  <si>
    <t>Sagwara</t>
  </si>
  <si>
    <t>Dungarpur, Sagwara</t>
  </si>
  <si>
    <t>RD0375</t>
  </si>
  <si>
    <t>Sikkim</t>
  </si>
  <si>
    <t>NH-10 Siliguri–Gangtok</t>
  </si>
  <si>
    <t>Siliguri border</t>
  </si>
  <si>
    <t>Gangtok</t>
  </si>
  <si>
    <t>Siliguri, Rangpo, Singtam, Gangtok</t>
  </si>
  <si>
    <t>Darjeeling, East Sikkim</t>
  </si>
  <si>
    <t>South Sikkim</t>
  </si>
  <si>
    <t>RD0376</t>
  </si>
  <si>
    <t>NH-31A Sevoke–Rangpo</t>
  </si>
  <si>
    <t>Sevoke</t>
  </si>
  <si>
    <t>Rangpo</t>
  </si>
  <si>
    <t>Sevoke, Rangpo</t>
  </si>
  <si>
    <t>South Entry</t>
  </si>
  <si>
    <t>RD0377</t>
  </si>
  <si>
    <t>NH-717 Gangtok–Mangan</t>
  </si>
  <si>
    <t>Mangan</t>
  </si>
  <si>
    <t>Gangtok, Mangan</t>
  </si>
  <si>
    <t>East Sikkim, North Sikkim</t>
  </si>
  <si>
    <t>North Access</t>
  </si>
  <si>
    <t>RD0378</t>
  </si>
  <si>
    <t>Rural Road – Gyalshing–Yuksom</t>
  </si>
  <si>
    <t>Gyalshing</t>
  </si>
  <si>
    <t>Yuksom</t>
  </si>
  <si>
    <t>Gyalshing, Yuksom</t>
  </si>
  <si>
    <t>West Sikkim</t>
  </si>
  <si>
    <t>RD0379</t>
  </si>
  <si>
    <t>Rural Road – Lachung Valley</t>
  </si>
  <si>
    <t>Lachung</t>
  </si>
  <si>
    <t>Mangan, Lachung</t>
  </si>
  <si>
    <t>North Sikkim</t>
  </si>
  <si>
    <t>RD0380</t>
  </si>
  <si>
    <t>Rural Road – Temi–Tarku Tea Garden</t>
  </si>
  <si>
    <t>Temi</t>
  </si>
  <si>
    <t>Tarku</t>
  </si>
  <si>
    <t>Temi, Tarku</t>
  </si>
  <si>
    <t>RD0381</t>
  </si>
  <si>
    <t>SH-10 Singtam–Rangpo</t>
  </si>
  <si>
    <t>Singtam</t>
  </si>
  <si>
    <t>Singtam, Rangpo</t>
  </si>
  <si>
    <t>East Sikkim</t>
  </si>
  <si>
    <t>RD0382</t>
  </si>
  <si>
    <t>SK MDR – Ravangla–Namchi</t>
  </si>
  <si>
    <t>Ravangla</t>
  </si>
  <si>
    <t>Namchi</t>
  </si>
  <si>
    <t>Ravangla, Namchi</t>
  </si>
  <si>
    <t>RD0383</t>
  </si>
  <si>
    <t>SK Rural – Dzongu Village Road</t>
  </si>
  <si>
    <t>Dzongu</t>
  </si>
  <si>
    <t>Mangan, Dzongu</t>
  </si>
  <si>
    <t>RD0384</t>
  </si>
  <si>
    <t>SK Rural – North Sikkim Access</t>
  </si>
  <si>
    <t>Lachen</t>
  </si>
  <si>
    <t>Gangtok, Lachen</t>
  </si>
  <si>
    <t>RD0385</t>
  </si>
  <si>
    <t>SK SH-12 Gangtok–Nathu La</t>
  </si>
  <si>
    <t>Nathu La</t>
  </si>
  <si>
    <t>Gangtok, Tsomgo, Nathu La</t>
  </si>
  <si>
    <t>China Border Route</t>
  </si>
  <si>
    <t>RD0386</t>
  </si>
  <si>
    <t>SK SH-2 Jorethang–Namchi</t>
  </si>
  <si>
    <t>Jorethang</t>
  </si>
  <si>
    <t>Jorethang, Namchi</t>
  </si>
  <si>
    <t>RD0387</t>
  </si>
  <si>
    <t>SK SH-7 Melli–Singtam</t>
  </si>
  <si>
    <t>Melli</t>
  </si>
  <si>
    <t>Melli, Singtam</t>
  </si>
  <si>
    <t>South Sikkim, East Sikkim</t>
  </si>
  <si>
    <t>Central Sikkim</t>
  </si>
  <si>
    <t>RD0388</t>
  </si>
  <si>
    <t>SK Urban Road – Gangtok MG Marg</t>
  </si>
  <si>
    <t>MG Marg</t>
  </si>
  <si>
    <t>Tadong</t>
  </si>
  <si>
    <t>Gangtok Urban</t>
  </si>
  <si>
    <t>RD0389</t>
  </si>
  <si>
    <t>Village Road – West Sikkim Remote</t>
  </si>
  <si>
    <t>Soreng</t>
  </si>
  <si>
    <t>Dentam</t>
  </si>
  <si>
    <t>Soreng, Dentam</t>
  </si>
  <si>
    <t>Remote West</t>
  </si>
  <si>
    <t>RD0390</t>
  </si>
  <si>
    <t>Tamil Nadu</t>
  </si>
  <si>
    <t>Chennai Bypass Road (NH-16)</t>
  </si>
  <si>
    <t>Ennore</t>
  </si>
  <si>
    <t>Maraimalai Nagar</t>
  </si>
  <si>
    <t>Chennai</t>
  </si>
  <si>
    <t>Chennai, Kancheepuram</t>
  </si>
  <si>
    <t>Chennai Bypass</t>
  </si>
  <si>
    <t>RD0391</t>
  </si>
  <si>
    <t>Chennai–Bengaluru Expressway (NH-48)</t>
  </si>
  <si>
    <t>Krishnagiri</t>
  </si>
  <si>
    <t>Chennai, Vellore, Krishnagiri</t>
  </si>
  <si>
    <t>NW Tamil Nadu</t>
  </si>
  <si>
    <t>RD0392</t>
  </si>
  <si>
    <t>NH-38 Trichy–Karur–Erode</t>
  </si>
  <si>
    <t>Trichy</t>
  </si>
  <si>
    <t>Erode</t>
  </si>
  <si>
    <t>Trichy, Karur, Erode</t>
  </si>
  <si>
    <t>Central TN</t>
  </si>
  <si>
    <t>RD0393</t>
  </si>
  <si>
    <t>NH-44 Chennai–Kanyakumari</t>
  </si>
  <si>
    <t>Kanyakumari</t>
  </si>
  <si>
    <t>Chennai, Villupuram, Trichy, Madurai, Tirunelveli, Kanyakumari</t>
  </si>
  <si>
    <t>Chennai, Villupuram, Trichy, Madurai, Tirunelveli</t>
  </si>
  <si>
    <t>South TN Corridor</t>
  </si>
  <si>
    <t>RD0394</t>
  </si>
  <si>
    <t>NH-45 Chennai–Madurai (inland)</t>
  </si>
  <si>
    <t>Madurai</t>
  </si>
  <si>
    <t>Chennai, Villupuram, Trichy, Dindigul, Madurai</t>
  </si>
  <si>
    <t>RD0395</t>
  </si>
  <si>
    <t>NH-48 Bengaluru–Chennai</t>
  </si>
  <si>
    <t>Krishnagiri, Vellore, Chennai</t>
  </si>
  <si>
    <t>Krishnagiri, Vellore, Ranipet, Chennai</t>
  </si>
  <si>
    <t>East-West TN</t>
  </si>
  <si>
    <t>RD0396</t>
  </si>
  <si>
    <t>NH-67 Coimbatore–Nagapattinam</t>
  </si>
  <si>
    <t>Coimbatore</t>
  </si>
  <si>
    <t>Nagapattinam</t>
  </si>
  <si>
    <t>Coimbatore, Salem, Trichy, Nagapattinam</t>
  </si>
  <si>
    <t>Trans TN</t>
  </si>
  <si>
    <t>RD0397</t>
  </si>
  <si>
    <t>NH-83 Trichy–Pudukkottai–Karaikal</t>
  </si>
  <si>
    <t>Karaikal</t>
  </si>
  <si>
    <t>Trichy, Pudukkottai, Karaikal</t>
  </si>
  <si>
    <t>Trichy, Pudukkottai, Nagapattinam</t>
  </si>
  <si>
    <t>RD0398</t>
  </si>
  <si>
    <t>Rural Road – Nilgiris Tea Estate</t>
  </si>
  <si>
    <t>Ooty</t>
  </si>
  <si>
    <t>Ooty, Gudalur</t>
  </si>
  <si>
    <t>Nilgiris</t>
  </si>
  <si>
    <t>RD0399</t>
  </si>
  <si>
    <t>Rural Road – Palk Strait Coastal</t>
  </si>
  <si>
    <t>Rameswaram</t>
  </si>
  <si>
    <t>Pamban</t>
  </si>
  <si>
    <t>Rameswaram, Pamban</t>
  </si>
  <si>
    <t>Ramanathapuram</t>
  </si>
  <si>
    <t>Coastal TN</t>
  </si>
  <si>
    <t>RD0400</t>
  </si>
  <si>
    <t>Rural Road – Tribal Dharmapuri</t>
  </si>
  <si>
    <t>Dharmapuri</t>
  </si>
  <si>
    <t>Pennagaram</t>
  </si>
  <si>
    <t>Dharmapuri, Pennagaram</t>
  </si>
  <si>
    <t>North TN Tribal</t>
  </si>
  <si>
    <t>RD0401</t>
  </si>
  <si>
    <t>SH-149 Vellore–Tirupattur</t>
  </si>
  <si>
    <t>Vellore</t>
  </si>
  <si>
    <t>Tirupattur</t>
  </si>
  <si>
    <t>Vellore, Tirupattur</t>
  </si>
  <si>
    <t>North TN</t>
  </si>
  <si>
    <t>RD0402</t>
  </si>
  <si>
    <t>TN MDR – Erode–Gobichettipalayam</t>
  </si>
  <si>
    <t>Gobichettipalayam</t>
  </si>
  <si>
    <t>Erode, Gobichettipalayam</t>
  </si>
  <si>
    <t>RD0403</t>
  </si>
  <si>
    <t>TN MDR – Tiruppur–Avinashi</t>
  </si>
  <si>
    <t>Tiruppur</t>
  </si>
  <si>
    <t>Avinashi</t>
  </si>
  <si>
    <t>Tiruppur, Avinashi</t>
  </si>
  <si>
    <t>Textile Belt</t>
  </si>
  <si>
    <t>RD0404</t>
  </si>
  <si>
    <t>TN SH-1 Chennai–Pondicherry</t>
  </si>
  <si>
    <t>Pondicherry</t>
  </si>
  <si>
    <t>Chennai, Mamallapuram, Pondicherry</t>
  </si>
  <si>
    <t>Chennai, Chengalpattu, Villupuram</t>
  </si>
  <si>
    <t>East Coast TN</t>
  </si>
  <si>
    <t>RD0405</t>
  </si>
  <si>
    <t>TN SH-36 Coimbatore–Ooty</t>
  </si>
  <si>
    <t>Coimbatore, Mettupalayam, Ooty</t>
  </si>
  <si>
    <t>Coimbatore, Nilgiris</t>
  </si>
  <si>
    <t>Nilgiris Ghat</t>
  </si>
  <si>
    <t>RD0406</t>
  </si>
  <si>
    <t>TN Urban Road – Chennai Anna Salai</t>
  </si>
  <si>
    <t>Chennai Central</t>
  </si>
  <si>
    <t>Guindy</t>
  </si>
  <si>
    <t>Chennai Urban</t>
  </si>
  <si>
    <t>RD0407</t>
  </si>
  <si>
    <t>TN Urban Road – Coimbatore City</t>
  </si>
  <si>
    <t>Gandhipuram</t>
  </si>
  <si>
    <t>Peelamedu</t>
  </si>
  <si>
    <t>Coimbatore Urban</t>
  </si>
  <si>
    <t>RD0408</t>
  </si>
  <si>
    <t>TN Urban Road – Madurai City</t>
  </si>
  <si>
    <t>Meenakshi Amman Temple</t>
  </si>
  <si>
    <t>Anna Nagar</t>
  </si>
  <si>
    <t>Madurai Urban</t>
  </si>
  <si>
    <t>RD0409</t>
  </si>
  <si>
    <t>Village Road – Cauvery Delta Farms</t>
  </si>
  <si>
    <t>Kumbakonam</t>
  </si>
  <si>
    <t>Papanasam</t>
  </si>
  <si>
    <t>Kumbakonam, Papanasam</t>
  </si>
  <si>
    <t>Thanjavur</t>
  </si>
  <si>
    <t>Cauvery Delta</t>
  </si>
  <si>
    <t>RD0410</t>
  </si>
  <si>
    <t>Telangana</t>
  </si>
  <si>
    <t>Hyderabad ORR (Outer Ring Road)</t>
  </si>
  <si>
    <t>Shamshabad</t>
  </si>
  <si>
    <t>Patancheru</t>
  </si>
  <si>
    <t>Hyderabad, Shamshabad, Patancheru</t>
  </si>
  <si>
    <t>Rangareddy, Medchal</t>
  </si>
  <si>
    <t>Hyderabad Metro</t>
  </si>
  <si>
    <t>RD0411</t>
  </si>
  <si>
    <t>Hyderabad–Warangal Expressway (NH-163)</t>
  </si>
  <si>
    <t>Hyderabad</t>
  </si>
  <si>
    <t>Warangal</t>
  </si>
  <si>
    <t>Hyderabad, Bhongir, Warangal</t>
  </si>
  <si>
    <t>Yadadri Bhongir, Warangal</t>
  </si>
  <si>
    <t>East Telangana</t>
  </si>
  <si>
    <t>RD0412</t>
  </si>
  <si>
    <t>NH-163 Hyderabad–Srisailam</t>
  </si>
  <si>
    <t>Srisailam</t>
  </si>
  <si>
    <t>Hyderabad, Jadcherla, Srisailam</t>
  </si>
  <si>
    <t>Hyderabad, Mahabubnagar, Nandyal</t>
  </si>
  <si>
    <t>South Telangana</t>
  </si>
  <si>
    <t>RD0413</t>
  </si>
  <si>
    <t>NH-167 Jadcherla–Kurnool</t>
  </si>
  <si>
    <t>Jadcherla</t>
  </si>
  <si>
    <t>Kurnool border</t>
  </si>
  <si>
    <t>Jadcherla, Mahabubnagar, Kurnool</t>
  </si>
  <si>
    <t>Mahabubnagar</t>
  </si>
  <si>
    <t>South TG–AP</t>
  </si>
  <si>
    <t>RD0414</t>
  </si>
  <si>
    <t>NH-353A Karimnagar–Mancherial</t>
  </si>
  <si>
    <t>Karimnagar</t>
  </si>
  <si>
    <t>Mancherial</t>
  </si>
  <si>
    <t>Karimnagar, Mancherial</t>
  </si>
  <si>
    <t>North TG</t>
  </si>
  <si>
    <t>RD0415</t>
  </si>
  <si>
    <t>NH-44 Hyderabad–Nagpur</t>
  </si>
  <si>
    <t>Nizamabad</t>
  </si>
  <si>
    <t>Hyderabad, Medak, Nizamabad</t>
  </si>
  <si>
    <t>North Telangana</t>
  </si>
  <si>
    <t>RD0416</t>
  </si>
  <si>
    <t>Vijayawada border</t>
  </si>
  <si>
    <t>Hyderabad, Nalgonda, Miryalaguda</t>
  </si>
  <si>
    <t>Hyderabad, Nalgonda</t>
  </si>
  <si>
    <t>RD0417</t>
  </si>
  <si>
    <t>Rural Road – Adilabad Tribal Belt</t>
  </si>
  <si>
    <t>Adilabad</t>
  </si>
  <si>
    <t>Nirmal</t>
  </si>
  <si>
    <t>Adilabad, Nirmal</t>
  </si>
  <si>
    <t>RD0418</t>
  </si>
  <si>
    <t>Rural Road – Nalgonda Remote Villages</t>
  </si>
  <si>
    <t>Devarakonda</t>
  </si>
  <si>
    <t>Nakrekal</t>
  </si>
  <si>
    <t>Devarakonda, Nakrekal</t>
  </si>
  <si>
    <t>Nalgonda</t>
  </si>
  <si>
    <t>Central TG</t>
  </si>
  <si>
    <t>RD0419</t>
  </si>
  <si>
    <t>Rural Road – Wanaparthy Agricultural</t>
  </si>
  <si>
    <t>Wanaparthy</t>
  </si>
  <si>
    <t>Maganoor</t>
  </si>
  <si>
    <t>Wanaparthy, Maganoor</t>
  </si>
  <si>
    <t>South TG</t>
  </si>
  <si>
    <t>RD0420</t>
  </si>
  <si>
    <t>SH-5 Karimnagar–Warangal</t>
  </si>
  <si>
    <t>Karimnagar, Warangal</t>
  </si>
  <si>
    <t>RD0421</t>
  </si>
  <si>
    <t>TG MDR – Karimnagar–Peddapalli</t>
  </si>
  <si>
    <t>Peddapalli</t>
  </si>
  <si>
    <t>Karimnagar, Peddapalli</t>
  </si>
  <si>
    <t>RD0422</t>
  </si>
  <si>
    <t>TG MDR – Nalgonda–Miryalaguda</t>
  </si>
  <si>
    <t>Miryalaguda</t>
  </si>
  <si>
    <t>Nalgonda, Miryalaguda</t>
  </si>
  <si>
    <t>RD0423</t>
  </si>
  <si>
    <t>TG SH-1 Hyderabad–Warangal (Old)</t>
  </si>
  <si>
    <t>Yadadri, Warangal</t>
  </si>
  <si>
    <t>East TG</t>
  </si>
  <si>
    <t>RD0424</t>
  </si>
  <si>
    <t>TG SH-23 Hyderabad–Zahirabad</t>
  </si>
  <si>
    <t>Zahirabad</t>
  </si>
  <si>
    <t>Hyderabad, Medak, Zahirabad</t>
  </si>
  <si>
    <t>Medak, Sangareddy</t>
  </si>
  <si>
    <t>RD0425</t>
  </si>
  <si>
    <t>TG Urban Road – Hyderabad PVNR Exp</t>
  </si>
  <si>
    <t>Mehdipatnam</t>
  </si>
  <si>
    <t>Aramghar</t>
  </si>
  <si>
    <t>Hyderabad Urban</t>
  </si>
  <si>
    <t>RD0426</t>
  </si>
  <si>
    <t>TG Urban Road – Warangal City</t>
  </si>
  <si>
    <t>Hanamkonda</t>
  </si>
  <si>
    <t>Kazipet</t>
  </si>
  <si>
    <t>Warangal Urban</t>
  </si>
  <si>
    <t>RD0427</t>
  </si>
  <si>
    <t>Village Road – Khammam Forest Road</t>
  </si>
  <si>
    <t>Khammam</t>
  </si>
  <si>
    <t>Kothagudem</t>
  </si>
  <si>
    <t>Khammam, Kothagudem</t>
  </si>
  <si>
    <t>Khammam, Bhadradri</t>
  </si>
  <si>
    <t>Forest Zone</t>
  </si>
  <si>
    <t>RD0428</t>
  </si>
  <si>
    <t>Tripura</t>
  </si>
  <si>
    <t>NH-208 Agartala–Manu</t>
  </si>
  <si>
    <t>Agartala</t>
  </si>
  <si>
    <t>Manu</t>
  </si>
  <si>
    <t>Agartala, Ambassa, Manu</t>
  </si>
  <si>
    <t>West Tripura, Dhalai</t>
  </si>
  <si>
    <t>Central Tripura</t>
  </si>
  <si>
    <t>RD0429</t>
  </si>
  <si>
    <t>NH-44 Agartala–Sabroom</t>
  </si>
  <si>
    <t>Sabroom</t>
  </si>
  <si>
    <t>Agartala, Belonia, Sabroom</t>
  </si>
  <si>
    <t>West Tripura, South Tripura</t>
  </si>
  <si>
    <t>RD0430</t>
  </si>
  <si>
    <t>NH-8 Agartala–Dharmanagar</t>
  </si>
  <si>
    <t>Dharmanagar</t>
  </si>
  <si>
    <t>Agartala, Kailashahar, Dharmanagar</t>
  </si>
  <si>
    <t>West Tripura, Unakoti, North Tripura</t>
  </si>
  <si>
    <t>North Tripura NH</t>
  </si>
  <si>
    <t>RD0431</t>
  </si>
  <si>
    <t>Rural Road – Dhalai Forest Road</t>
  </si>
  <si>
    <t>Ambassa</t>
  </si>
  <si>
    <t>Kamalpur</t>
  </si>
  <si>
    <t>Ambassa, Kamalpur</t>
  </si>
  <si>
    <t>Dhalai</t>
  </si>
  <si>
    <t>RD0432</t>
  </si>
  <si>
    <t>Rural Road – Gomati District</t>
  </si>
  <si>
    <t>Amarpur</t>
  </si>
  <si>
    <t>Karbook</t>
  </si>
  <si>
    <t>Amarpur, Karbook</t>
  </si>
  <si>
    <t>Gomati</t>
  </si>
  <si>
    <t>South Tripura</t>
  </si>
  <si>
    <t>RD0433</t>
  </si>
  <si>
    <t>Rural Road – Sepahijala Rural</t>
  </si>
  <si>
    <t>Barjala</t>
  </si>
  <si>
    <t>Charilam</t>
  </si>
  <si>
    <t>Barjala, Charilam</t>
  </si>
  <si>
    <t>Sepahijala</t>
  </si>
  <si>
    <t>West Tripura Rural</t>
  </si>
  <si>
    <t>RD0434</t>
  </si>
  <si>
    <t>Rural Road – Unakoti District</t>
  </si>
  <si>
    <t>Kailashahar</t>
  </si>
  <si>
    <t>Pabiachhara</t>
  </si>
  <si>
    <t>Kailashahar, Pabiachhara</t>
  </si>
  <si>
    <t>Unakoti</t>
  </si>
  <si>
    <t>North Tripura</t>
  </si>
  <si>
    <t>RD0435</t>
  </si>
  <si>
    <t>SH-1 Agartala–Sabroom (alternate)</t>
  </si>
  <si>
    <t>Agartala, Belonia</t>
  </si>
  <si>
    <t>RD0436</t>
  </si>
  <si>
    <t>TR MDR – Khowai–Teliamura</t>
  </si>
  <si>
    <t>Khowai</t>
  </si>
  <si>
    <t>Teliamura</t>
  </si>
  <si>
    <t>Khowai, Teliamura</t>
  </si>
  <si>
    <t>Khowai, Khowai</t>
  </si>
  <si>
    <t>RD0437</t>
  </si>
  <si>
    <t>TR MDR – Udaipur–Amarpur</t>
  </si>
  <si>
    <t>Udaipur, Amarpur</t>
  </si>
  <si>
    <t>RD0438</t>
  </si>
  <si>
    <t>TR Rural – Sepahijala Villages</t>
  </si>
  <si>
    <t>Bishalgarh</t>
  </si>
  <si>
    <t>Sonamura</t>
  </si>
  <si>
    <t>Bishalgarh, Sonamura</t>
  </si>
  <si>
    <t>West Tripura</t>
  </si>
  <si>
    <t>RD0439</t>
  </si>
  <si>
    <t>TR SH-10 Agartala–Udaipur</t>
  </si>
  <si>
    <t>Agartala, Udaipur</t>
  </si>
  <si>
    <t>West Tripura, Gomati</t>
  </si>
  <si>
    <t>RD0440</t>
  </si>
  <si>
    <t>TR SH-5 Kumarghat–Dharmanagar</t>
  </si>
  <si>
    <t>Kumarghat</t>
  </si>
  <si>
    <t>Kumarghat, Dharmanagar</t>
  </si>
  <si>
    <t>Unakoti, North Tripura</t>
  </si>
  <si>
    <t>RD0441</t>
  </si>
  <si>
    <t>TR Urban Road – Agartala City</t>
  </si>
  <si>
    <t>Agartala Town</t>
  </si>
  <si>
    <t>Battala</t>
  </si>
  <si>
    <t>Agartala Urban</t>
  </si>
  <si>
    <t>RD0442</t>
  </si>
  <si>
    <t>Village Road – Bangladesh Border Villages</t>
  </si>
  <si>
    <t>Akhaura border</t>
  </si>
  <si>
    <t>Agartala, Akhaura approach</t>
  </si>
  <si>
    <t>RD0443</t>
  </si>
  <si>
    <t>Uttar Pradesh</t>
  </si>
  <si>
    <t>Agra–Lucknow Expressway</t>
  </si>
  <si>
    <t>Agra</t>
  </si>
  <si>
    <t>Lucknow</t>
  </si>
  <si>
    <t>Agra, Etawah, Kannauj, Kanpur, Lucknow</t>
  </si>
  <si>
    <t>Agra, Mainpuri, Kannauj, Lucknow</t>
  </si>
  <si>
    <t>Central UP</t>
  </si>
  <si>
    <t>RD0444</t>
  </si>
  <si>
    <t>Bundelkhand Expressway</t>
  </si>
  <si>
    <t>Chitrakoot</t>
  </si>
  <si>
    <t>Etawah</t>
  </si>
  <si>
    <t>Chitrakoot, Banda, Hamirpur, Jalaun, Etawah</t>
  </si>
  <si>
    <t>Chitrakoot, Banda, Hamirpur, Jalaun</t>
  </si>
  <si>
    <t>RD0445</t>
  </si>
  <si>
    <t>Delhi–Meerut Expressway (UP side)</t>
  </si>
  <si>
    <t>Ghaziabad</t>
  </si>
  <si>
    <t>Meerut</t>
  </si>
  <si>
    <t>Ghaziabad, Meerut</t>
  </si>
  <si>
    <t>Western UP</t>
  </si>
  <si>
    <t>RD0446</t>
  </si>
  <si>
    <t>Ganga Expressway</t>
  </si>
  <si>
    <t>Prayagraj</t>
  </si>
  <si>
    <t>Meerut, Hapur, Budaun, Shahjahanpur, Hardoi, Kannauj, Prayagraj</t>
  </si>
  <si>
    <t>Meerut, Hapur, Budaun, Shahjahanpur</t>
  </si>
  <si>
    <t>Trans UP</t>
  </si>
  <si>
    <t>RD0447</t>
  </si>
  <si>
    <t>Gorakhpur Link Expressway</t>
  </si>
  <si>
    <t>Azamgarh</t>
  </si>
  <si>
    <t>Gorakhpur</t>
  </si>
  <si>
    <t>Azamgarh, Gorakhpur</t>
  </si>
  <si>
    <t>East UP</t>
  </si>
  <si>
    <t>RD0448</t>
  </si>
  <si>
    <t>NH-19 Agra–Varanasi</t>
  </si>
  <si>
    <t>Varanasi</t>
  </si>
  <si>
    <t>Agra, Kanpur, Allahabad, Varanasi</t>
  </si>
  <si>
    <t>Agra, Kanpur, Prayagraj, Varanasi</t>
  </si>
  <si>
    <t>RD0449</t>
  </si>
  <si>
    <t>NH-24 Delhi–Lucknow</t>
  </si>
  <si>
    <t>Delhi, Ghaziabad, Moradabad, Bareilly, Lucknow</t>
  </si>
  <si>
    <t>Ghaziabad, Moradabad, Bareilly, Lucknow</t>
  </si>
  <si>
    <t>North UP</t>
  </si>
  <si>
    <t>RD0450</t>
  </si>
  <si>
    <t>NH-27 UP East-West Corridor</t>
  </si>
  <si>
    <t>Allahabad</t>
  </si>
  <si>
    <t>Allahabad, Mirzapur, Varanasi</t>
  </si>
  <si>
    <t>Prayagraj, Mirzapur, Varanasi</t>
  </si>
  <si>
    <t>RD0451</t>
  </si>
  <si>
    <t>NH-28 Lucknow–Gorakhpur</t>
  </si>
  <si>
    <t>Lucknow, Sultanpur, Faizabad, Gorakhpur</t>
  </si>
  <si>
    <t>Lucknow, Sultanpur, Ayodhya, Gorakhpur</t>
  </si>
  <si>
    <t>RD0452</t>
  </si>
  <si>
    <t>NH-730 Agra–Etawah</t>
  </si>
  <si>
    <t>Agra, Etawah</t>
  </si>
  <si>
    <t>RD0453</t>
  </si>
  <si>
    <t>Purvanchal Expressway</t>
  </si>
  <si>
    <t>Ghazipur</t>
  </si>
  <si>
    <t>Lucknow, Sultanpur, Azamgarh, Ghazipur</t>
  </si>
  <si>
    <t>RD0454</t>
  </si>
  <si>
    <t>Rural Road – Bundelkhand Remote</t>
  </si>
  <si>
    <t>Banda</t>
  </si>
  <si>
    <t>Banda, Chitrakoot</t>
  </si>
  <si>
    <t>RD0455</t>
  </si>
  <si>
    <t>Rural Road – Gorakhpur Terai</t>
  </si>
  <si>
    <t>Maharajganj</t>
  </si>
  <si>
    <t>Gorakhpur, Maharajganj</t>
  </si>
  <si>
    <t>Terai</t>
  </si>
  <si>
    <t>RD0456</t>
  </si>
  <si>
    <t>SH-33 Lucknow–Kanpur</t>
  </si>
  <si>
    <t>Kanpur</t>
  </si>
  <si>
    <t>Lucknow, Unnao, Kanpur</t>
  </si>
  <si>
    <t>RD0457</t>
  </si>
  <si>
    <t>SH-56 Lucknow–Faizabad</t>
  </si>
  <si>
    <t>Faizabad</t>
  </si>
  <si>
    <t>Lucknow, Barabanki, Faizabad</t>
  </si>
  <si>
    <t>Lucknow, Barabanki, Ayodhya</t>
  </si>
  <si>
    <t>Awadh</t>
  </si>
  <si>
    <t>RD0458</t>
  </si>
  <si>
    <t>UP MDR – Mathura–Vrindavan</t>
  </si>
  <si>
    <t>Mathura</t>
  </si>
  <si>
    <t>Vrindavan</t>
  </si>
  <si>
    <t>Mathura, Vrindavan</t>
  </si>
  <si>
    <t>Braj Region</t>
  </si>
  <si>
    <t>U</t>
  </si>
  <si>
    <t>RD0459</t>
  </si>
  <si>
    <t>UP Urban Road – Agra Taj Mahal Road</t>
  </si>
  <si>
    <t>Agra Fort</t>
  </si>
  <si>
    <t>Taj Mahal</t>
  </si>
  <si>
    <t>Agra Urban</t>
  </si>
  <si>
    <t>RD0460</t>
  </si>
  <si>
    <t>UP Urban Road – Lucknow Hazratganj</t>
  </si>
  <si>
    <t>Hazratganj</t>
  </si>
  <si>
    <t>Gomti Nagar</t>
  </si>
  <si>
    <t>Lucknow Urban</t>
  </si>
  <si>
    <t>RD0461</t>
  </si>
  <si>
    <t>UP Urban Road – Noida Expressway City</t>
  </si>
  <si>
    <t>Noida Sector 18</t>
  </si>
  <si>
    <t>Greater Noida</t>
  </si>
  <si>
    <t>Noida, Greater Noida</t>
  </si>
  <si>
    <t>Gautam Buddh Nagar</t>
  </si>
  <si>
    <t>NCR Urban</t>
  </si>
  <si>
    <t>RD0462</t>
  </si>
  <si>
    <t>UP Urban Road – Varanasi Ghats Road</t>
  </si>
  <si>
    <t>Dashashwamedh Ghat</t>
  </si>
  <si>
    <t>Assi Ghat</t>
  </si>
  <si>
    <t>Varanasi Urban</t>
  </si>
  <si>
    <t>RD0463</t>
  </si>
  <si>
    <t>Village Road – Kosi-Terai Flood Area</t>
  </si>
  <si>
    <t>Lakhimpur Kheri</t>
  </si>
  <si>
    <t>Palia Kalan</t>
  </si>
  <si>
    <t>Lakhimpur, Palia</t>
  </si>
  <si>
    <t>Terai UP</t>
  </si>
  <si>
    <t>RD0464</t>
  </si>
  <si>
    <t>Yamuna Expressway</t>
  </si>
  <si>
    <t>Greater Noida, Mathura, Agra</t>
  </si>
  <si>
    <t>Gautam Buddh Nagar, Mathura, Agra</t>
  </si>
  <si>
    <t>Y</t>
  </si>
  <si>
    <t>RD0465</t>
  </si>
  <si>
    <t>Uttarakhand</t>
  </si>
  <si>
    <t>Char Dham Highway – Rishikesh–Badrinath</t>
  </si>
  <si>
    <t>Rishikesh</t>
  </si>
  <si>
    <t>Badrinath</t>
  </si>
  <si>
    <t>Rishikesh, Devprayag, Joshimath, Badrinath</t>
  </si>
  <si>
    <t>Tehri, Pauri, Chamoli</t>
  </si>
  <si>
    <t>Garhwal</t>
  </si>
  <si>
    <t>RD0466</t>
  </si>
  <si>
    <t>Char Dham Highway – Rishikesh–Kedarnath</t>
  </si>
  <si>
    <t>Gaurikund</t>
  </si>
  <si>
    <t>Rishikesh, Devprayag, Rudraprayag, Gaurikund</t>
  </si>
  <si>
    <t>Tehri, Rudraprayag</t>
  </si>
  <si>
    <t>RD0467</t>
  </si>
  <si>
    <t>NH-58 Delhi–Haridwar–Rishikesh</t>
  </si>
  <si>
    <t>Haridwar, Rishikesh</t>
  </si>
  <si>
    <t>Haridwar</t>
  </si>
  <si>
    <t>South Uttarakhand</t>
  </si>
  <si>
    <t>RD0468</t>
  </si>
  <si>
    <t>NH-72 Tanakpur–Pithoragarh</t>
  </si>
  <si>
    <t>Tanakpur</t>
  </si>
  <si>
    <t>Pithoragarh</t>
  </si>
  <si>
    <t>Tanakpur, Champawat, Pithoragarh</t>
  </si>
  <si>
    <t>Champawat, Pithoragarh</t>
  </si>
  <si>
    <t>East Kumaon</t>
  </si>
  <si>
    <t>RD0469</t>
  </si>
  <si>
    <t>NH-74 Haridwar–Kashipur–Nainital</t>
  </si>
  <si>
    <t>Nainital</t>
  </si>
  <si>
    <t>Haridwar, Roorkee, Kashipur, Nainital</t>
  </si>
  <si>
    <t>Haridwar, Udham Singh Nagar, Nainital</t>
  </si>
  <si>
    <t>Kumaon</t>
  </si>
  <si>
    <t>RD0470</t>
  </si>
  <si>
    <t>NH-87 Haldwani–Almora–Bageshwar</t>
  </si>
  <si>
    <t>Haldwani</t>
  </si>
  <si>
    <t>Bageshwar</t>
  </si>
  <si>
    <t>Haldwani, Almora, Bageshwar</t>
  </si>
  <si>
    <t>Nainital, Almora, Bageshwar</t>
  </si>
  <si>
    <t>RD0471</t>
  </si>
  <si>
    <t>NH-94 Rishikesh–Gangotri</t>
  </si>
  <si>
    <t>Gangotri</t>
  </si>
  <si>
    <t>Rishikesh, Tehri, Uttarkashi, Gangotri</t>
  </si>
  <si>
    <t>Tehri, Uttarkashi</t>
  </si>
  <si>
    <t>RD0472</t>
  </si>
  <si>
    <t>Rural Road – Kumaon Hill Villages</t>
  </si>
  <si>
    <t>Almora</t>
  </si>
  <si>
    <t>Ranikhet</t>
  </si>
  <si>
    <t>Almora, Ranikhet</t>
  </si>
  <si>
    <t>Kumaon Hills</t>
  </si>
  <si>
    <t>RD0473</t>
  </si>
  <si>
    <t>Rural Road – Pithoragarh–Dharchula</t>
  </si>
  <si>
    <t>Dharchula</t>
  </si>
  <si>
    <t>Pithoragarh, Dharchula</t>
  </si>
  <si>
    <t>Nepal Border</t>
  </si>
  <si>
    <t>RD0474</t>
  </si>
  <si>
    <t>UK MDR – Lansdowne–Pauri</t>
  </si>
  <si>
    <t>Lansdowne</t>
  </si>
  <si>
    <t>Pauri</t>
  </si>
  <si>
    <t>Lansdowne, Pauri</t>
  </si>
  <si>
    <t>Pauri Garhwal</t>
  </si>
  <si>
    <t>RD0475</t>
  </si>
  <si>
    <t>UK MDR – Ramnagar–Nainital</t>
  </si>
  <si>
    <t>Ramnagar</t>
  </si>
  <si>
    <t>Ramnagar, Bhimtal, Nainital</t>
  </si>
  <si>
    <t>RD0476</t>
  </si>
  <si>
    <t>UK SH-33 Dehradun–Mussoorie</t>
  </si>
  <si>
    <t>Dehradun</t>
  </si>
  <si>
    <t>Mussoorie</t>
  </si>
  <si>
    <t>Dehradun, Mussoorie</t>
  </si>
  <si>
    <t>Garhwal Hills</t>
  </si>
  <si>
    <t>RD0477</t>
  </si>
  <si>
    <t>UK SH-37 Rishikesh–Devprayag</t>
  </si>
  <si>
    <t>Devprayag</t>
  </si>
  <si>
    <t>Rishikesh, Devprayag</t>
  </si>
  <si>
    <t>Tehri Garhwal</t>
  </si>
  <si>
    <t>RD0478</t>
  </si>
  <si>
    <t>UK Urban Road – Dehradun City</t>
  </si>
  <si>
    <t>Rajpur Road</t>
  </si>
  <si>
    <t>ISBT Dehradun</t>
  </si>
  <si>
    <t>Dehradun Urban</t>
  </si>
  <si>
    <t>RD0479</t>
  </si>
  <si>
    <t>UK Urban Road – Haridwar City</t>
  </si>
  <si>
    <t>Har ki Pauri</t>
  </si>
  <si>
    <t>Haridwar Urban</t>
  </si>
  <si>
    <t>RD0480</t>
  </si>
  <si>
    <t>Village Road – Chamoli Remote Ghats</t>
  </si>
  <si>
    <t>Joshimath</t>
  </si>
  <si>
    <t>Malari</t>
  </si>
  <si>
    <t>Joshimath, Malari</t>
  </si>
  <si>
    <t>Chamoli</t>
  </si>
  <si>
    <t>China Border</t>
  </si>
  <si>
    <t>RD0481</t>
  </si>
  <si>
    <t>Village Road – Uttarkashi Gangotri Region</t>
  </si>
  <si>
    <t>Uttarkashi</t>
  </si>
  <si>
    <t>Bhatwari</t>
  </si>
  <si>
    <t>Uttarkashi, Bhatwari</t>
  </si>
  <si>
    <t>RD0482</t>
  </si>
  <si>
    <t>West Bengal</t>
  </si>
  <si>
    <t>NH-112 Raiganj–Balurghat</t>
  </si>
  <si>
    <t>Raiganj</t>
  </si>
  <si>
    <t>Balurghat</t>
  </si>
  <si>
    <t>Raiganj, Balurghat</t>
  </si>
  <si>
    <t>North Dinajpur, South Dinajpur</t>
  </si>
  <si>
    <t>North WB</t>
  </si>
  <si>
    <t>RD0483</t>
  </si>
  <si>
    <t>NH-12 Kolkata–Siliguri</t>
  </si>
  <si>
    <t>Kolkata</t>
  </si>
  <si>
    <t>Siliguri</t>
  </si>
  <si>
    <t>Kolkata, Burdwan, Durgapur, Siliguri</t>
  </si>
  <si>
    <t>Kolkata, Purba Bardhaman, Darjeeling</t>
  </si>
  <si>
    <t>North Bengal</t>
  </si>
  <si>
    <t>RD0484</t>
  </si>
  <si>
    <t>NH-16 Kolkata–Bhubaneswar</t>
  </si>
  <si>
    <t>Bhubaneswar border</t>
  </si>
  <si>
    <t>Kolkata, Kharagpur, Midnapore</t>
  </si>
  <si>
    <t>Kolkata, Paschim Medinipur</t>
  </si>
  <si>
    <t>South WB</t>
  </si>
  <si>
    <t>RD0485</t>
  </si>
  <si>
    <t>NH-27 Siliguri–Guwahati (WB Section)</t>
  </si>
  <si>
    <t>Jalpaiguri</t>
  </si>
  <si>
    <t>Siliguri, Jalpaiguri</t>
  </si>
  <si>
    <t>Darjeeling, Jalpaiguri</t>
  </si>
  <si>
    <t>RD0486</t>
  </si>
  <si>
    <t>NH-34 Kolkata–Dalkhola</t>
  </si>
  <si>
    <t>Dalkhola</t>
  </si>
  <si>
    <t>Kolkata, Krishnanagar, Berhampore, Dalkhola</t>
  </si>
  <si>
    <t>Nadia, Murshidabad, N Dinajpur</t>
  </si>
  <si>
    <t>RD0487</t>
  </si>
  <si>
    <t>NH-60 Kharagpur–Baripada</t>
  </si>
  <si>
    <t>Kharagpur</t>
  </si>
  <si>
    <t>Baripada border</t>
  </si>
  <si>
    <t>Kharagpur, Jhargram</t>
  </si>
  <si>
    <t>Paschim Medinipur</t>
  </si>
  <si>
    <t>RD0488</t>
  </si>
  <si>
    <t>Rural Road – Cooch Behar Agriculture</t>
  </si>
  <si>
    <t>Cooch Behar</t>
  </si>
  <si>
    <t>Dinhata</t>
  </si>
  <si>
    <t>Cooch Behar, Dinhata</t>
  </si>
  <si>
    <t>North Bengal Terai</t>
  </si>
  <si>
    <t>RD0489</t>
  </si>
  <si>
    <t>Rural Road – Murshidabad Farmlands</t>
  </si>
  <si>
    <t>Berhampore</t>
  </si>
  <si>
    <t>Jangipur</t>
  </si>
  <si>
    <t>Berhampore, Jangipur</t>
  </si>
  <si>
    <t>Murshidabad</t>
  </si>
  <si>
    <t>Rural WB</t>
  </si>
  <si>
    <t>RD0490</t>
  </si>
  <si>
    <t>Rural Road – Sundarbans Delta</t>
  </si>
  <si>
    <t>Canning</t>
  </si>
  <si>
    <t>Gosaba</t>
  </si>
  <si>
    <t>Canning, Gosaba</t>
  </si>
  <si>
    <t>South 24 Parganas</t>
  </si>
  <si>
    <t>Sundarbans</t>
  </si>
  <si>
    <t>RD0491</t>
  </si>
  <si>
    <t>SH-10 Barasat–Basirhat</t>
  </si>
  <si>
    <t>Barasat</t>
  </si>
  <si>
    <t>Basirhat</t>
  </si>
  <si>
    <t>Barasat, Basirhat</t>
  </si>
  <si>
    <t>North 24 Parganas</t>
  </si>
  <si>
    <t>Delta Region</t>
  </si>
  <si>
    <t>RD0492</t>
  </si>
  <si>
    <t>Village Road – Purulia Highland</t>
  </si>
  <si>
    <t>Purulia</t>
  </si>
  <si>
    <t>Jhalda</t>
  </si>
  <si>
    <t>Purulia, Jhalda</t>
  </si>
  <si>
    <t>West Bengal Plateau</t>
  </si>
  <si>
    <t>RD0493</t>
  </si>
  <si>
    <t>WB MDR – Barrackpore–Kalyani</t>
  </si>
  <si>
    <t>Barrackpore</t>
  </si>
  <si>
    <t>Kalyani</t>
  </si>
  <si>
    <t>Barrackpore, Kalyani</t>
  </si>
  <si>
    <t>W</t>
  </si>
  <si>
    <t>RD0494</t>
  </si>
  <si>
    <t>WB MDR – Durgapur–Asansol</t>
  </si>
  <si>
    <t>Durgapur</t>
  </si>
  <si>
    <t>Asansol</t>
  </si>
  <si>
    <t>Durgapur, Asansol</t>
  </si>
  <si>
    <t>Paschim Bardhaman</t>
  </si>
  <si>
    <t>RD0495</t>
  </si>
  <si>
    <t>WB SH-12 Siliguri–Jalpaiguri</t>
  </si>
  <si>
    <t>RD0496</t>
  </si>
  <si>
    <t>WB SH-6 Kolkata–Baruipur</t>
  </si>
  <si>
    <t>Baruipur</t>
  </si>
  <si>
    <t>Kolkata, Baruipur</t>
  </si>
  <si>
    <t>RD0497</t>
  </si>
  <si>
    <t>WB Urban Road – Darjeeling Mall Road</t>
  </si>
  <si>
    <t>Mall Road</t>
  </si>
  <si>
    <t>Ghoom</t>
  </si>
  <si>
    <t>Darjeeling</t>
  </si>
  <si>
    <t>Darjeeling Urban</t>
  </si>
  <si>
    <t>RD0498</t>
  </si>
  <si>
    <t>WB Urban Road – Howrah Bridge Road</t>
  </si>
  <si>
    <t>Howrah Station</t>
  </si>
  <si>
    <t>Brabourne Road</t>
  </si>
  <si>
    <t>Howrah, Kolkata</t>
  </si>
  <si>
    <t>Kolkata–Howrah</t>
  </si>
  <si>
    <t>RD0499</t>
  </si>
  <si>
    <t>WB Urban Road – Kolkata EM Bypass</t>
  </si>
  <si>
    <t>Ultadanga</t>
  </si>
  <si>
    <t>Gariahat</t>
  </si>
  <si>
    <t>Kolkata Urban</t>
  </si>
  <si>
    <t>RD0500</t>
  </si>
  <si>
    <t>WB Urban Road – Salt Lake Bypass</t>
  </si>
  <si>
    <t>New Town</t>
  </si>
  <si>
    <t>East Kolkata</t>
  </si>
  <si>
    <t>State Name</t>
  </si>
  <si>
    <t>Road Count</t>
  </si>
  <si>
    <t>Total km</t>
  </si>
  <si>
    <t>Total Fuel Cost (₹)</t>
  </si>
  <si>
    <t>NH Count</t>
  </si>
  <si>
    <t>Expressway Count</t>
  </si>
  <si>
    <t>TOTAL</t>
  </si>
  <si>
    <t>🇮🇳  INDIA ROAD NETWORK — LOGISTICS DASHBOARD</t>
  </si>
  <si>
    <t>DATASET OVERVIEW</t>
  </si>
  <si>
    <t>Total Roads in Dataset</t>
  </si>
  <si>
    <t>Total States Covered</t>
  </si>
  <si>
    <t>Total Distance (km)</t>
  </si>
  <si>
    <t>Fuel Price per Litre (₹)</t>
  </si>
  <si>
    <t>ROAD TYPE BREAKDOWN</t>
  </si>
  <si>
    <t>Total km by Type</t>
  </si>
  <si>
    <t>National Highways</t>
  </si>
  <si>
    <t>Expressways</t>
  </si>
  <si>
    <t>State Highways</t>
  </si>
  <si>
    <t>Major District Roads</t>
  </si>
  <si>
    <t>Village Roads</t>
  </si>
  <si>
    <t>Urban Roads</t>
  </si>
  <si>
    <t>ROAD CONDITION</t>
  </si>
  <si>
    <t>Good Condition Roads</t>
  </si>
  <si>
    <t>Moderate Condition Roads</t>
  </si>
  <si>
    <t>Poor Condition Roads</t>
  </si>
  <si>
    <t>TOLL INFORMATION</t>
  </si>
  <si>
    <t>Toll Roads</t>
  </si>
  <si>
    <t>Non-Toll Roads</t>
  </si>
  <si>
    <t>LEGEND &amp; DATA NOTES</t>
  </si>
  <si>
    <t>Road Type</t>
  </si>
  <si>
    <t>Color Code</t>
  </si>
  <si>
    <t>Description</t>
  </si>
  <si>
    <t>■ Sample</t>
  </si>
  <si>
    <t>Major intercity/interstate highways (NH prefix)</t>
  </si>
  <si>
    <t>High-speed limited access roads, tolled</t>
  </si>
  <si>
    <t>State-managed arterial roads (SH prefix)</t>
  </si>
  <si>
    <t>District-level connector roads (MDR)</t>
  </si>
  <si>
    <t>Rural/panchayat roads for last-mile connectivity</t>
  </si>
  <si>
    <t>City internal roads in metro/urban areas</t>
  </si>
  <si>
    <t>CALCULATION FORMULAS</t>
  </si>
  <si>
    <t>Travel Time (hrs)</t>
  </si>
  <si>
    <t>Distance / Speed</t>
  </si>
  <si>
    <t>Speed varies: NH=50, Expressway=80, SH=45, MDR=40, Village=25, Urban=20 kmph</t>
  </si>
  <si>
    <t>Fuel Consumption (L)</t>
  </si>
  <si>
    <t>Distance / Fuel Efficiency</t>
  </si>
  <si>
    <t>Efficiency: NH=4.5, Exp=5.0, SH=4.0, MDR=3.5, Village=3.0, Urban=3.5 km/L</t>
  </si>
  <si>
    <t>Total Fuel Cost (INR)</t>
  </si>
  <si>
    <t>Fuel Consumption x 94.56</t>
  </si>
  <si>
    <t>Fuel price fixed at 94.56/litre (Indian diesel average)</t>
  </si>
  <si>
    <t>DATA SOURCES &amp; NOTES</t>
  </si>
  <si>
    <t>• Highway numbers and routes based on NHAI and MoRTH data</t>
  </si>
  <si>
    <t>• Distances are approximate based on road network maps</t>
  </si>
  <si>
    <t>• All data is for truck logistics planning (12–18 tonne trucks)</t>
  </si>
  <si>
    <t>• Fuel price: ₹94.56/litre (India diesel, 2024 avg)</t>
  </si>
  <si>
    <t>• States processed sequentially as per Indian state order</t>
  </si>
  <si>
    <t>• Village roads include Pradhan Mantri Gram Sadak Yojana (PMGSY) routes</t>
  </si>
  <si>
    <t>• Urban roads cover major metro and tier-2 city corridors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</si>
</sst>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\₹#,##0.00"/>
  </numFmts>
  <fonts count="8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6"/>
      <color rgb="FF1F3864"/>
      <name val="Arial"/>
      <charset val="1"/>
    </font>
    <font>
      <b/>
      <sz val="13"/>
      <color rgb="FFFFFFFF"/>
      <name val="Arial"/>
      <charset val="1"/>
    </font>
  </fonts>
  <fills count="2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CE6F1"/>
      </patternFill>
    </fill>
    <fill>
      <patternFill patternType="solid">
        <fgColor rgb="FFDDEBF7"/>
        <bgColor rgb="FFD6EAF8"/>
      </patternFill>
    </fill>
    <fill>
      <patternFill patternType="solid">
        <fgColor rgb="FFEAD1DC"/>
        <bgColor rgb="FFF4CCCC"/>
      </patternFill>
    </fill>
    <fill>
      <patternFill patternType="solid">
        <fgColor rgb="FFF4CCCC"/>
        <bgColor rgb="FFEAD1DC"/>
      </patternFill>
    </fill>
    <fill>
      <patternFill patternType="solid">
        <fgColor rgb="FFFCE4D6"/>
        <bgColor rgb="FFFDEBD0"/>
      </patternFill>
    </fill>
    <fill>
      <patternFill patternType="solid">
        <fgColor rgb="FFFFF2CC"/>
        <bgColor rgb="FFFDEBD0"/>
      </patternFill>
    </fill>
    <fill>
      <patternFill patternType="solid">
        <fgColor rgb="FFE2EFDA"/>
        <bgColor rgb="FFD9F0D3"/>
      </patternFill>
    </fill>
    <fill>
      <patternFill patternType="solid">
        <fgColor rgb="FFEDEDED"/>
        <bgColor rgb="FFEBF5FB"/>
      </patternFill>
    </fill>
    <fill>
      <patternFill patternType="solid">
        <fgColor rgb="FFD9F0D3"/>
        <bgColor rgb="FFE2EFDA"/>
      </patternFill>
    </fill>
    <fill>
      <patternFill patternType="solid">
        <fgColor rgb="FFFDEBD0"/>
        <bgColor rgb="FFFFF2CC"/>
      </patternFill>
    </fill>
    <fill>
      <patternFill patternType="solid">
        <fgColor rgb="FFD6EAF8"/>
        <bgColor rgb="FFDDEBF7"/>
      </patternFill>
    </fill>
    <fill>
      <patternFill patternType="solid">
        <fgColor rgb="FFE8DAEF"/>
        <bgColor rgb="FFEAD1DC"/>
      </patternFill>
    </fill>
    <fill>
      <patternFill patternType="solid">
        <fgColor rgb="FFFDFEFE"/>
        <bgColor rgb="FFFFFFFF"/>
      </patternFill>
    </fill>
    <fill>
      <patternFill patternType="solid">
        <fgColor rgb="FFD5F5E3"/>
        <bgColor rgb="FFD9F0D3"/>
      </patternFill>
    </fill>
    <fill>
      <patternFill patternType="solid">
        <fgColor rgb="FFFAD7A0"/>
        <bgColor rgb="FFF9E79F"/>
      </patternFill>
    </fill>
    <fill>
      <patternFill patternType="solid">
        <fgColor rgb="FFD5D8DC"/>
        <bgColor rgb="FFD9E1F2"/>
      </patternFill>
    </fill>
    <fill>
      <patternFill patternType="solid">
        <fgColor rgb="FFA9DFBF"/>
        <bgColor rgb="FFAED6F1"/>
      </patternFill>
    </fill>
    <fill>
      <patternFill patternType="solid">
        <fgColor rgb="FFAED6F1"/>
        <bgColor rgb="FFBDD7EE"/>
      </patternFill>
    </fill>
    <fill>
      <patternFill patternType="solid">
        <fgColor rgb="FFF9E79F"/>
        <bgColor rgb="FFFAD7A0"/>
      </patternFill>
    </fill>
    <fill>
      <patternFill patternType="solid">
        <fgColor rgb="FFFADBD8"/>
        <bgColor rgb="FFFCE4D6"/>
      </patternFill>
    </fill>
    <fill>
      <patternFill patternType="solid">
        <fgColor rgb="FFD2B4DE"/>
        <bgColor rgb="FFBFBFBF"/>
      </patternFill>
    </fill>
    <fill>
      <patternFill patternType="solid">
        <fgColor rgb="FFA9CCE3"/>
        <bgColor rgb="FFAED6F1"/>
      </patternFill>
    </fill>
    <fill>
      <patternFill patternType="solid">
        <fgColor rgb="FFBDD7EE"/>
        <bgColor rgb="FFAED6F1"/>
      </patternFill>
    </fill>
    <fill>
      <patternFill patternType="solid">
        <fgColor rgb="FF2E75B6"/>
        <bgColor rgb="FF0066CC"/>
      </patternFill>
    </fill>
    <fill>
      <patternFill patternType="solid">
        <fgColor rgb="FFDCE6F1"/>
        <bgColor rgb="FFD9E1F2"/>
      </patternFill>
    </fill>
    <fill>
      <patternFill patternType="solid">
        <fgColor rgb="FFEBF5FB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 wrapText="1"/>
    </xf>
    <xf numFmtId="3" fontId="2" fillId="9" borderId="1" xfId="0" applyNumberFormat="1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165" fontId="2" fillId="9" borderId="1" xfId="0" applyNumberFormat="1" applyFont="1" applyFill="1" applyBorder="1" applyAlignment="1">
      <alignment horizontal="center" vertical="center"/>
    </xf>
    <xf numFmtId="2" fontId="2" fillId="9" borderId="1" xfId="0" applyNumberFormat="1" applyFont="1" applyFill="1" applyBorder="1" applyAlignment="1">
      <alignment horizontal="center" vertical="center"/>
    </xf>
    <xf numFmtId="4" fontId="2" fillId="9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3" fontId="2" fillId="8" borderId="1" xfId="0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4" fontId="2" fillId="8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3" fontId="2" fillId="7" borderId="1" xfId="0" applyNumberFormat="1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 vertical="center"/>
    </xf>
    <xf numFmtId="4" fontId="2" fillId="7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 wrapText="1"/>
    </xf>
    <xf numFmtId="3" fontId="2" fillId="10" borderId="1" xfId="0" applyNumberFormat="1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165" fontId="2" fillId="10" borderId="1" xfId="0" applyNumberFormat="1" applyFont="1" applyFill="1" applyBorder="1" applyAlignment="1">
      <alignment horizontal="center" vertical="center"/>
    </xf>
    <xf numFmtId="2" fontId="2" fillId="10" borderId="1" xfId="0" applyNumberFormat="1" applyFont="1" applyFill="1" applyBorder="1" applyAlignment="1">
      <alignment horizontal="center" vertical="center"/>
    </xf>
    <xf numFmtId="4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 wrapText="1"/>
    </xf>
    <xf numFmtId="3" fontId="2" fillId="11" borderId="1" xfId="0" applyNumberFormat="1" applyFont="1" applyFill="1" applyBorder="1" applyAlignment="1">
      <alignment horizontal="center" vertical="center"/>
    </xf>
    <xf numFmtId="164" fontId="2" fillId="11" borderId="1" xfId="0" applyNumberFormat="1" applyFont="1" applyFill="1" applyBorder="1" applyAlignment="1">
      <alignment horizontal="center" vertical="center"/>
    </xf>
    <xf numFmtId="165" fontId="2" fillId="11" borderId="1" xfId="0" applyNumberFormat="1" applyFont="1" applyFill="1" applyBorder="1" applyAlignment="1">
      <alignment horizontal="center" vertical="center"/>
    </xf>
    <xf numFmtId="2" fontId="2" fillId="11" borderId="1" xfId="0" applyNumberFormat="1" applyFont="1" applyFill="1" applyBorder="1" applyAlignment="1">
      <alignment horizontal="center" vertical="center"/>
    </xf>
    <xf numFmtId="4" fontId="2" fillId="11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/>
    </xf>
    <xf numFmtId="164" fontId="2" fillId="12" borderId="1" xfId="0" applyNumberFormat="1" applyFont="1" applyFill="1" applyBorder="1" applyAlignment="1">
      <alignment horizontal="center" vertical="center"/>
    </xf>
    <xf numFmtId="165" fontId="2" fillId="12" borderId="1" xfId="0" applyNumberFormat="1" applyFont="1" applyFill="1" applyBorder="1" applyAlignment="1">
      <alignment horizontal="center" vertical="center"/>
    </xf>
    <xf numFmtId="2" fontId="2" fillId="12" borderId="1" xfId="0" applyNumberFormat="1" applyFont="1" applyFill="1" applyBorder="1" applyAlignment="1">
      <alignment horizontal="center" vertical="center"/>
    </xf>
    <xf numFmtId="4" fontId="2" fillId="12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 wrapText="1"/>
    </xf>
    <xf numFmtId="3" fontId="2" fillId="13" borderId="1" xfId="0" applyNumberFormat="1" applyFont="1" applyFill="1" applyBorder="1" applyAlignment="1">
      <alignment horizontal="center" vertical="center"/>
    </xf>
    <xf numFmtId="164" fontId="2" fillId="13" borderId="1" xfId="0" applyNumberFormat="1" applyFont="1" applyFill="1" applyBorder="1" applyAlignment="1">
      <alignment horizontal="center" vertical="center"/>
    </xf>
    <xf numFmtId="165" fontId="2" fillId="13" borderId="1" xfId="0" applyNumberFormat="1" applyFont="1" applyFill="1" applyBorder="1" applyAlignment="1">
      <alignment horizontal="center" vertical="center"/>
    </xf>
    <xf numFmtId="2" fontId="2" fillId="13" borderId="1" xfId="0" applyNumberFormat="1" applyFont="1" applyFill="1" applyBorder="1" applyAlignment="1">
      <alignment horizontal="center" vertical="center"/>
    </xf>
    <xf numFmtId="4" fontId="2" fillId="13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 wrapText="1"/>
    </xf>
    <xf numFmtId="3" fontId="2" fillId="14" borderId="1" xfId="0" applyNumberFormat="1" applyFont="1" applyFill="1" applyBorder="1" applyAlignment="1">
      <alignment horizontal="center" vertical="center"/>
    </xf>
    <xf numFmtId="164" fontId="2" fillId="14" borderId="1" xfId="0" applyNumberFormat="1" applyFont="1" applyFill="1" applyBorder="1" applyAlignment="1">
      <alignment horizontal="center" vertical="center"/>
    </xf>
    <xf numFmtId="165" fontId="2" fillId="14" borderId="1" xfId="0" applyNumberFormat="1" applyFont="1" applyFill="1" applyBorder="1" applyAlignment="1">
      <alignment horizontal="center" vertical="center"/>
    </xf>
    <xf numFmtId="2" fontId="2" fillId="14" borderId="1" xfId="0" applyNumberFormat="1" applyFont="1" applyFill="1" applyBorder="1" applyAlignment="1">
      <alignment horizontal="center" vertical="center"/>
    </xf>
    <xf numFmtId="4" fontId="2" fillId="14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center" wrapText="1"/>
    </xf>
    <xf numFmtId="3" fontId="2" fillId="15" borderId="1" xfId="0" applyNumberFormat="1" applyFont="1" applyFill="1" applyBorder="1" applyAlignment="1">
      <alignment horizontal="center" vertical="center"/>
    </xf>
    <xf numFmtId="164" fontId="2" fillId="15" borderId="1" xfId="0" applyNumberFormat="1" applyFont="1" applyFill="1" applyBorder="1" applyAlignment="1">
      <alignment horizontal="center" vertical="center"/>
    </xf>
    <xf numFmtId="165" fontId="2" fillId="15" borderId="1" xfId="0" applyNumberFormat="1" applyFont="1" applyFill="1" applyBorder="1" applyAlignment="1">
      <alignment horizontal="center" vertical="center"/>
    </xf>
    <xf numFmtId="2" fontId="2" fillId="15" borderId="1" xfId="0" applyNumberFormat="1" applyFont="1" applyFill="1" applyBorder="1" applyAlignment="1">
      <alignment horizontal="center" vertical="center"/>
    </xf>
    <xf numFmtId="4" fontId="2" fillId="15" borderId="1" xfId="0" applyNumberFormat="1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left" vertical="center" wrapText="1"/>
    </xf>
    <xf numFmtId="3" fontId="2" fillId="16" borderId="1" xfId="0" applyNumberFormat="1" applyFont="1" applyFill="1" applyBorder="1" applyAlignment="1">
      <alignment horizontal="center" vertical="center"/>
    </xf>
    <xf numFmtId="164" fontId="2" fillId="16" borderId="1" xfId="0" applyNumberFormat="1" applyFont="1" applyFill="1" applyBorder="1" applyAlignment="1">
      <alignment horizontal="center" vertical="center"/>
    </xf>
    <xf numFmtId="165" fontId="2" fillId="16" borderId="1" xfId="0" applyNumberFormat="1" applyFont="1" applyFill="1" applyBorder="1" applyAlignment="1">
      <alignment horizontal="center" vertical="center"/>
    </xf>
    <xf numFmtId="2" fontId="2" fillId="16" borderId="1" xfId="0" applyNumberFormat="1" applyFont="1" applyFill="1" applyBorder="1" applyAlignment="1">
      <alignment horizontal="center" vertical="center"/>
    </xf>
    <xf numFmtId="4" fontId="2" fillId="16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 wrapText="1"/>
    </xf>
    <xf numFmtId="3" fontId="2" fillId="17" borderId="1" xfId="0" applyNumberFormat="1" applyFont="1" applyFill="1" applyBorder="1" applyAlignment="1">
      <alignment horizontal="center" vertical="center"/>
    </xf>
    <xf numFmtId="164" fontId="2" fillId="17" borderId="1" xfId="0" applyNumberFormat="1" applyFont="1" applyFill="1" applyBorder="1" applyAlignment="1">
      <alignment horizontal="center" vertical="center"/>
    </xf>
    <xf numFmtId="165" fontId="2" fillId="17" borderId="1" xfId="0" applyNumberFormat="1" applyFont="1" applyFill="1" applyBorder="1" applyAlignment="1">
      <alignment horizontal="center" vertical="center"/>
    </xf>
    <xf numFmtId="2" fontId="2" fillId="17" borderId="1" xfId="0" applyNumberFormat="1" applyFont="1" applyFill="1" applyBorder="1" applyAlignment="1">
      <alignment horizontal="center" vertical="center"/>
    </xf>
    <xf numFmtId="4" fontId="2" fillId="17" borderId="1" xfId="0" applyNumberFormat="1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left" vertical="center" wrapText="1"/>
    </xf>
    <xf numFmtId="3" fontId="2" fillId="18" borderId="1" xfId="0" applyNumberFormat="1" applyFont="1" applyFill="1" applyBorder="1" applyAlignment="1">
      <alignment horizontal="center" vertical="center"/>
    </xf>
    <xf numFmtId="164" fontId="2" fillId="18" borderId="1" xfId="0" applyNumberFormat="1" applyFont="1" applyFill="1" applyBorder="1" applyAlignment="1">
      <alignment horizontal="center" vertical="center"/>
    </xf>
    <xf numFmtId="165" fontId="2" fillId="18" borderId="1" xfId="0" applyNumberFormat="1" applyFont="1" applyFill="1" applyBorder="1" applyAlignment="1">
      <alignment horizontal="center" vertical="center"/>
    </xf>
    <xf numFmtId="2" fontId="2" fillId="18" borderId="1" xfId="0" applyNumberFormat="1" applyFont="1" applyFill="1" applyBorder="1" applyAlignment="1">
      <alignment horizontal="center" vertical="center"/>
    </xf>
    <xf numFmtId="4" fontId="2" fillId="18" borderId="1" xfId="0" applyNumberFormat="1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left" vertical="center" wrapText="1"/>
    </xf>
    <xf numFmtId="3" fontId="2" fillId="19" borderId="1" xfId="0" applyNumberFormat="1" applyFont="1" applyFill="1" applyBorder="1" applyAlignment="1">
      <alignment horizontal="center" vertical="center"/>
    </xf>
    <xf numFmtId="164" fontId="2" fillId="19" borderId="1" xfId="0" applyNumberFormat="1" applyFont="1" applyFill="1" applyBorder="1" applyAlignment="1">
      <alignment horizontal="center" vertical="center"/>
    </xf>
    <xf numFmtId="165" fontId="2" fillId="19" borderId="1" xfId="0" applyNumberFormat="1" applyFont="1" applyFill="1" applyBorder="1" applyAlignment="1">
      <alignment horizontal="center" vertical="center"/>
    </xf>
    <xf numFmtId="2" fontId="2" fillId="19" borderId="1" xfId="0" applyNumberFormat="1" applyFont="1" applyFill="1" applyBorder="1" applyAlignment="1">
      <alignment horizontal="center" vertical="center"/>
    </xf>
    <xf numFmtId="4" fontId="2" fillId="19" borderId="1" xfId="0" applyNumberFormat="1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left" vertical="center" wrapText="1"/>
    </xf>
    <xf numFmtId="3" fontId="2" fillId="20" borderId="1" xfId="0" applyNumberFormat="1" applyFont="1" applyFill="1" applyBorder="1" applyAlignment="1">
      <alignment horizontal="center" vertical="center"/>
    </xf>
    <xf numFmtId="164" fontId="2" fillId="20" borderId="1" xfId="0" applyNumberFormat="1" applyFont="1" applyFill="1" applyBorder="1" applyAlignment="1">
      <alignment horizontal="center" vertical="center"/>
    </xf>
    <xf numFmtId="165" fontId="2" fillId="20" borderId="1" xfId="0" applyNumberFormat="1" applyFont="1" applyFill="1" applyBorder="1" applyAlignment="1">
      <alignment horizontal="center" vertical="center"/>
    </xf>
    <xf numFmtId="2" fontId="2" fillId="20" borderId="1" xfId="0" applyNumberFormat="1" applyFont="1" applyFill="1" applyBorder="1" applyAlignment="1">
      <alignment horizontal="center" vertical="center"/>
    </xf>
    <xf numFmtId="4" fontId="2" fillId="20" borderId="1" xfId="0" applyNumberFormat="1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left" vertical="center" wrapText="1"/>
    </xf>
    <xf numFmtId="3" fontId="2" fillId="21" borderId="1" xfId="0" applyNumberFormat="1" applyFont="1" applyFill="1" applyBorder="1" applyAlignment="1">
      <alignment horizontal="center" vertical="center"/>
    </xf>
    <xf numFmtId="164" fontId="2" fillId="21" borderId="1" xfId="0" applyNumberFormat="1" applyFont="1" applyFill="1" applyBorder="1" applyAlignment="1">
      <alignment horizontal="center" vertical="center"/>
    </xf>
    <xf numFmtId="165" fontId="2" fillId="21" borderId="1" xfId="0" applyNumberFormat="1" applyFont="1" applyFill="1" applyBorder="1" applyAlignment="1">
      <alignment horizontal="center" vertical="center"/>
    </xf>
    <xf numFmtId="2" fontId="2" fillId="21" borderId="1" xfId="0" applyNumberFormat="1" applyFont="1" applyFill="1" applyBorder="1" applyAlignment="1">
      <alignment horizontal="center" vertical="center"/>
    </xf>
    <xf numFmtId="4" fontId="2" fillId="21" borderId="1" xfId="0" applyNumberFormat="1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left" vertical="center" wrapText="1"/>
    </xf>
    <xf numFmtId="3" fontId="2" fillId="22" borderId="1" xfId="0" applyNumberFormat="1" applyFont="1" applyFill="1" applyBorder="1" applyAlignment="1">
      <alignment horizontal="center" vertical="center"/>
    </xf>
    <xf numFmtId="164" fontId="2" fillId="22" borderId="1" xfId="0" applyNumberFormat="1" applyFont="1" applyFill="1" applyBorder="1" applyAlignment="1">
      <alignment horizontal="center" vertical="center"/>
    </xf>
    <xf numFmtId="165" fontId="2" fillId="22" borderId="1" xfId="0" applyNumberFormat="1" applyFont="1" applyFill="1" applyBorder="1" applyAlignment="1">
      <alignment horizontal="center" vertical="center"/>
    </xf>
    <xf numFmtId="2" fontId="2" fillId="22" borderId="1" xfId="0" applyNumberFormat="1" applyFont="1" applyFill="1" applyBorder="1" applyAlignment="1">
      <alignment horizontal="center" vertical="center"/>
    </xf>
    <xf numFmtId="4" fontId="2" fillId="22" borderId="1" xfId="0" applyNumberFormat="1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left" vertical="center" wrapText="1"/>
    </xf>
    <xf numFmtId="3" fontId="2" fillId="23" borderId="1" xfId="0" applyNumberFormat="1" applyFont="1" applyFill="1" applyBorder="1" applyAlignment="1">
      <alignment horizontal="center" vertical="center"/>
    </xf>
    <xf numFmtId="164" fontId="2" fillId="23" borderId="1" xfId="0" applyNumberFormat="1" applyFont="1" applyFill="1" applyBorder="1" applyAlignment="1">
      <alignment horizontal="center" vertical="center"/>
    </xf>
    <xf numFmtId="165" fontId="2" fillId="23" borderId="1" xfId="0" applyNumberFormat="1" applyFont="1" applyFill="1" applyBorder="1" applyAlignment="1">
      <alignment horizontal="center" vertical="center"/>
    </xf>
    <xf numFmtId="2" fontId="2" fillId="23" borderId="1" xfId="0" applyNumberFormat="1" applyFont="1" applyFill="1" applyBorder="1" applyAlignment="1">
      <alignment horizontal="center" vertical="center"/>
    </xf>
    <xf numFmtId="4" fontId="2" fillId="23" borderId="1" xfId="0" applyNumberFormat="1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left" vertical="center" wrapText="1"/>
    </xf>
    <xf numFmtId="3" fontId="2" fillId="24" borderId="1" xfId="0" applyNumberFormat="1" applyFont="1" applyFill="1" applyBorder="1" applyAlignment="1">
      <alignment horizontal="center" vertical="center"/>
    </xf>
    <xf numFmtId="164" fontId="2" fillId="24" borderId="1" xfId="0" applyNumberFormat="1" applyFont="1" applyFill="1" applyBorder="1" applyAlignment="1">
      <alignment horizontal="center" vertical="center"/>
    </xf>
    <xf numFmtId="165" fontId="2" fillId="24" borderId="1" xfId="0" applyNumberFormat="1" applyFont="1" applyFill="1" applyBorder="1" applyAlignment="1">
      <alignment horizontal="center" vertical="center"/>
    </xf>
    <xf numFmtId="2" fontId="2" fillId="24" borderId="1" xfId="0" applyNumberFormat="1" applyFont="1" applyFill="1" applyBorder="1" applyAlignment="1">
      <alignment horizontal="center" vertical="center"/>
    </xf>
    <xf numFmtId="4" fontId="2" fillId="24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3" fontId="5" fillId="9" borderId="1" xfId="0" applyNumberFormat="1" applyFont="1" applyFill="1" applyBorder="1" applyAlignment="1">
      <alignment horizontal="center" vertical="center"/>
    </xf>
    <xf numFmtId="166" fontId="5" fillId="9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3" fontId="5" fillId="8" borderId="1" xfId="0" applyNumberFormat="1" applyFont="1" applyFill="1" applyBorder="1" applyAlignment="1">
      <alignment horizontal="center" vertical="center"/>
    </xf>
    <xf numFmtId="166" fontId="5" fillId="8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166" fontId="5" fillId="7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3" fontId="5" fillId="10" borderId="1" xfId="0" applyNumberFormat="1" applyFont="1" applyFill="1" applyBorder="1" applyAlignment="1">
      <alignment horizontal="center" vertical="center"/>
    </xf>
    <xf numFmtId="166" fontId="5" fillId="10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3" fontId="5" fillId="11" borderId="1" xfId="0" applyNumberFormat="1" applyFont="1" applyFill="1" applyBorder="1" applyAlignment="1">
      <alignment horizontal="center" vertical="center"/>
    </xf>
    <xf numFmtId="166" fontId="5" fillId="11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3" fontId="5" fillId="12" borderId="1" xfId="0" applyNumberFormat="1" applyFont="1" applyFill="1" applyBorder="1" applyAlignment="1">
      <alignment horizontal="center" vertical="center"/>
    </xf>
    <xf numFmtId="166" fontId="5" fillId="12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3" fontId="5" fillId="13" borderId="1" xfId="0" applyNumberFormat="1" applyFont="1" applyFill="1" applyBorder="1" applyAlignment="1">
      <alignment horizontal="center" vertical="center"/>
    </xf>
    <xf numFmtId="166" fontId="5" fillId="13" borderId="1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center" vertical="center"/>
    </xf>
    <xf numFmtId="3" fontId="5" fillId="14" borderId="1" xfId="0" applyNumberFormat="1" applyFont="1" applyFill="1" applyBorder="1" applyAlignment="1">
      <alignment horizontal="center" vertical="center"/>
    </xf>
    <xf numFmtId="166" fontId="5" fillId="14" borderId="1" xfId="0" applyNumberFormat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center" vertical="center"/>
    </xf>
    <xf numFmtId="3" fontId="5" fillId="15" borderId="1" xfId="0" applyNumberFormat="1" applyFont="1" applyFill="1" applyBorder="1" applyAlignment="1">
      <alignment horizontal="center" vertical="center"/>
    </xf>
    <xf numFmtId="166" fontId="5" fillId="15" borderId="1" xfId="0" applyNumberFormat="1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3" fontId="5" fillId="16" borderId="1" xfId="0" applyNumberFormat="1" applyFont="1" applyFill="1" applyBorder="1" applyAlignment="1">
      <alignment horizontal="center" vertical="center"/>
    </xf>
    <xf numFmtId="166" fontId="5" fillId="16" borderId="1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left" vertical="center"/>
    </xf>
    <xf numFmtId="0" fontId="5" fillId="17" borderId="1" xfId="0" applyFont="1" applyFill="1" applyBorder="1" applyAlignment="1">
      <alignment horizontal="center" vertical="center"/>
    </xf>
    <xf numFmtId="3" fontId="5" fillId="17" borderId="1" xfId="0" applyNumberFormat="1" applyFont="1" applyFill="1" applyBorder="1" applyAlignment="1">
      <alignment horizontal="center" vertical="center"/>
    </xf>
    <xf numFmtId="166" fontId="5" fillId="17" borderId="1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left" vertical="center"/>
    </xf>
    <xf numFmtId="0" fontId="5" fillId="18" borderId="1" xfId="0" applyFont="1" applyFill="1" applyBorder="1" applyAlignment="1">
      <alignment horizontal="center" vertical="center"/>
    </xf>
    <xf numFmtId="3" fontId="5" fillId="18" borderId="1" xfId="0" applyNumberFormat="1" applyFont="1" applyFill="1" applyBorder="1" applyAlignment="1">
      <alignment horizontal="center" vertical="center"/>
    </xf>
    <xf numFmtId="166" fontId="5" fillId="18" borderId="1" xfId="0" applyNumberFormat="1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center" vertical="center"/>
    </xf>
    <xf numFmtId="3" fontId="5" fillId="19" borderId="1" xfId="0" applyNumberFormat="1" applyFont="1" applyFill="1" applyBorder="1" applyAlignment="1">
      <alignment horizontal="center" vertical="center"/>
    </xf>
    <xf numFmtId="166" fontId="5" fillId="19" borderId="1" xfId="0" applyNumberFormat="1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center" vertical="center"/>
    </xf>
    <xf numFmtId="3" fontId="5" fillId="20" borderId="1" xfId="0" applyNumberFormat="1" applyFont="1" applyFill="1" applyBorder="1" applyAlignment="1">
      <alignment horizontal="center" vertical="center"/>
    </xf>
    <xf numFmtId="166" fontId="5" fillId="20" borderId="1" xfId="0" applyNumberFormat="1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horizontal="center" vertical="center"/>
    </xf>
    <xf numFmtId="3" fontId="5" fillId="21" borderId="1" xfId="0" applyNumberFormat="1" applyFont="1" applyFill="1" applyBorder="1" applyAlignment="1">
      <alignment horizontal="center" vertical="center"/>
    </xf>
    <xf numFmtId="166" fontId="5" fillId="21" borderId="1" xfId="0" applyNumberFormat="1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left" vertical="center"/>
    </xf>
    <xf numFmtId="0" fontId="5" fillId="22" borderId="1" xfId="0" applyFont="1" applyFill="1" applyBorder="1" applyAlignment="1">
      <alignment horizontal="center" vertical="center"/>
    </xf>
    <xf numFmtId="3" fontId="5" fillId="22" borderId="1" xfId="0" applyNumberFormat="1" applyFont="1" applyFill="1" applyBorder="1" applyAlignment="1">
      <alignment horizontal="center" vertical="center"/>
    </xf>
    <xf numFmtId="166" fontId="5" fillId="22" borderId="1" xfId="0" applyNumberFormat="1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center" vertical="center"/>
    </xf>
    <xf numFmtId="3" fontId="5" fillId="23" borderId="1" xfId="0" applyNumberFormat="1" applyFont="1" applyFill="1" applyBorder="1" applyAlignment="1">
      <alignment horizontal="center" vertical="center"/>
    </xf>
    <xf numFmtId="166" fontId="5" fillId="23" borderId="1" xfId="0" applyNumberFormat="1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left" vertical="center"/>
    </xf>
    <xf numFmtId="0" fontId="5" fillId="24" borderId="1" xfId="0" applyFont="1" applyFill="1" applyBorder="1" applyAlignment="1">
      <alignment horizontal="center" vertical="center"/>
    </xf>
    <xf numFmtId="3" fontId="5" fillId="24" borderId="1" xfId="0" applyNumberFormat="1" applyFont="1" applyFill="1" applyBorder="1" applyAlignment="1">
      <alignment horizontal="center" vertical="center"/>
    </xf>
    <xf numFmtId="166" fontId="5" fillId="24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5" fillId="27" borderId="1" xfId="0" applyFont="1" applyFill="1" applyBorder="1"/>
    <xf numFmtId="0" fontId="4" fillId="27" borderId="1" xfId="0" applyFont="1" applyFill="1" applyBorder="1" applyAlignment="1">
      <alignment horizontal="center" vertical="center"/>
    </xf>
    <xf numFmtId="3" fontId="4" fillId="27" borderId="1" xfId="0" applyNumberFormat="1" applyFont="1" applyFill="1" applyBorder="1" applyAlignment="1">
      <alignment horizontal="center" vertical="center"/>
    </xf>
    <xf numFmtId="166" fontId="4" fillId="27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4" fillId="8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0" fontId="4" fillId="9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/>
    <xf numFmtId="0" fontId="4" fillId="7" borderId="1" xfId="0" applyFont="1" applyFill="1" applyBorder="1" applyAlignment="1">
      <alignment horizontal="center" vertical="center"/>
    </xf>
    <xf numFmtId="0" fontId="5" fillId="6" borderId="1" xfId="0" applyFont="1" applyFill="1" applyBorder="1"/>
    <xf numFmtId="0" fontId="4" fillId="6" borderId="1" xfId="0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4" fillId="28" borderId="1" xfId="0" applyFont="1" applyFill="1" applyBorder="1" applyAlignment="1">
      <alignment horizontal="left" vertical="center" wrapText="1"/>
    </xf>
    <xf numFmtId="0" fontId="5" fillId="28" borderId="1" xfId="0" applyFont="1" applyFill="1" applyBorder="1" applyAlignment="1">
      <alignment horizontal="left" vertical="center" wrapText="1"/>
    </xf>
    <xf numFmtId="0" fontId="1" fillId="26" borderId="1" xfId="0" applyFont="1" applyFill="1" applyBorder="1" applyAlignment="1">
      <alignment horizontal="center" vertical="center" wrapText="1"/>
    </xf>
    <xf numFmtId="0" fontId="6" fillId="25" borderId="0" xfId="0" applyFont="1" applyFill="1" applyAlignment="1">
      <alignment horizontal="center" vertical="center"/>
    </xf>
    <xf numFmtId="0" fontId="3" fillId="2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26" borderId="1" xfId="0" applyFont="1" applyFill="1" applyBorder="1" applyAlignment="1">
      <alignment horizontal="center" vertical="center" wrapText="1"/>
    </xf>
    <xf numFmtId="0" fontId="5" fillId="1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DEBD0"/>
      <rgbColor rgb="FFFF00FF"/>
      <rgbColor rgb="FFEBF5FB"/>
      <rgbColor rgb="FF800000"/>
      <rgbColor rgb="FF008000"/>
      <rgbColor rgb="FF000080"/>
      <rgbColor rgb="FFE2EFDA"/>
      <rgbColor rgb="FF800080"/>
      <rgbColor rgb="FF008080"/>
      <rgbColor rgb="FFBFBFBF"/>
      <rgbColor rgb="FFE8DAEF"/>
      <rgbColor rgb="FFAED6F1"/>
      <rgbColor rgb="FF993366"/>
      <rgbColor rgb="FFFFF2CC"/>
      <rgbColor rgb="FFD6EAF8"/>
      <rgbColor rgb="FF660066"/>
      <rgbColor rgb="FFEAD1DC"/>
      <rgbColor rgb="FF0066CC"/>
      <rgbColor rgb="FFBDD7EE"/>
      <rgbColor rgb="FF000080"/>
      <rgbColor rgb="FFFF00FF"/>
      <rgbColor rgb="FFD9F0D3"/>
      <rgbColor rgb="FFFDFEFE"/>
      <rgbColor rgb="FF800080"/>
      <rgbColor rgb="FF800000"/>
      <rgbColor rgb="FF008080"/>
      <rgbColor rgb="FF0000FF"/>
      <rgbColor rgb="FF00CCFF"/>
      <rgbColor rgb="FFDDEBF7"/>
      <rgbColor rgb="FFD5F5E3"/>
      <rgbColor rgb="FFF9E79F"/>
      <rgbColor rgb="FFA9CCE3"/>
      <rgbColor rgb="FFF4CCCC"/>
      <rgbColor rgb="FFD2B4DE"/>
      <rgbColor rgb="FFFAD7A0"/>
      <rgbColor rgb="FF2E75B6"/>
      <rgbColor rgb="FFD9E1F2"/>
      <rgbColor rgb="FFD5D8DC"/>
      <rgbColor rgb="FFFADBD8"/>
      <rgbColor rgb="FFFCE4D6"/>
      <rgbColor rgb="FFEDEDED"/>
      <rgbColor rgb="FF666699"/>
      <rgbColor rgb="FFA9DFBF"/>
      <rgbColor rgb="FF1F3864"/>
      <rgbColor rgb="FFDCE6F1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8" customWidth="1"/>
    <col min="2" max="2" width="18" customWidth="1"/>
    <col min="3" max="3" width="42" customWidth="1"/>
    <col min="4" max="4" width="18" customWidth="1"/>
    <col min="5" max="6" width="22" customWidth="1"/>
    <col min="7" max="8" width="55" customWidth="1"/>
    <col min="9" max="9" width="22" customWidth="1"/>
    <col min="10" max="10" width="14" customWidth="1"/>
    <col min="11" max="11" width="16" customWidth="1"/>
    <col min="12" max="13" width="14" customWidth="1"/>
    <col min="14" max="14" width="16" customWidth="1"/>
    <col min="15" max="15" width="14" customWidth="1"/>
    <col min="16" max="16" width="16" customWidth="1"/>
    <col min="17" max="17" width="14" customWidth="1"/>
    <col min="18" max="18" width="12" customWidth="1"/>
    <col min="19" max="19" width="10" customWidth="1"/>
  </cols>
  <sheetData>
    <row r="1" spans="1:19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8" customHeight="1">
      <c r="A2" s="2" t="s">
        <v>19</v>
      </c>
      <c r="B2" s="3" t="s">
        <v>20</v>
      </c>
      <c r="C2" s="3" t="s">
        <v>21</v>
      </c>
      <c r="D2" s="4" t="s">
        <v>22</v>
      </c>
      <c r="E2" s="3" t="s">
        <v>23</v>
      </c>
      <c r="F2" s="3" t="s">
        <v>24</v>
      </c>
      <c r="G2" s="3" t="s">
        <v>25</v>
      </c>
      <c r="H2" s="3" t="s">
        <v>25</v>
      </c>
      <c r="I2" s="3" t="s">
        <v>26</v>
      </c>
      <c r="J2" s="5">
        <v>145</v>
      </c>
      <c r="K2" s="6">
        <f t="shared" ref="K2:K65" si="0">J2/L2</f>
        <v>3.2222222222222223</v>
      </c>
      <c r="L2" s="6">
        <v>45</v>
      </c>
      <c r="M2" s="6">
        <v>4</v>
      </c>
      <c r="N2" s="7">
        <f t="shared" ref="N2:N65" si="1">J2/M2</f>
        <v>36.25</v>
      </c>
      <c r="O2" s="8">
        <v>94.56</v>
      </c>
      <c r="P2" s="9">
        <f t="shared" ref="P2:P65" si="2">N2*O2</f>
        <v>3427.8</v>
      </c>
      <c r="Q2" s="3" t="s">
        <v>27</v>
      </c>
      <c r="R2" s="2" t="s">
        <v>28</v>
      </c>
      <c r="S2" s="2" t="s">
        <v>29</v>
      </c>
    </row>
    <row r="3" spans="1:19" ht="18" customHeight="1">
      <c r="A3" s="2" t="s">
        <v>30</v>
      </c>
      <c r="B3" s="3" t="s">
        <v>20</v>
      </c>
      <c r="C3" s="3" t="s">
        <v>31</v>
      </c>
      <c r="D3" s="4" t="s">
        <v>22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5">
        <v>130</v>
      </c>
      <c r="K3" s="6">
        <f t="shared" si="0"/>
        <v>2.8888888888888888</v>
      </c>
      <c r="L3" s="6">
        <v>45</v>
      </c>
      <c r="M3" s="6">
        <v>4</v>
      </c>
      <c r="N3" s="7">
        <f t="shared" si="1"/>
        <v>32.5</v>
      </c>
      <c r="O3" s="8">
        <v>94.56</v>
      </c>
      <c r="P3" s="9">
        <f t="shared" si="2"/>
        <v>3073.2000000000003</v>
      </c>
      <c r="Q3" s="3" t="s">
        <v>37</v>
      </c>
      <c r="R3" s="2" t="s">
        <v>28</v>
      </c>
      <c r="S3" s="2" t="s">
        <v>29</v>
      </c>
    </row>
    <row r="4" spans="1:19" ht="18" customHeight="1">
      <c r="A4" s="2" t="s">
        <v>38</v>
      </c>
      <c r="B4" s="3" t="s">
        <v>20</v>
      </c>
      <c r="C4" s="3" t="s">
        <v>39</v>
      </c>
      <c r="D4" s="4" t="s">
        <v>22</v>
      </c>
      <c r="E4" s="3" t="s">
        <v>33</v>
      </c>
      <c r="F4" s="3" t="s">
        <v>40</v>
      </c>
      <c r="G4" s="3" t="s">
        <v>41</v>
      </c>
      <c r="H4" s="3" t="s">
        <v>40</v>
      </c>
      <c r="I4" s="3" t="s">
        <v>42</v>
      </c>
      <c r="J4" s="5">
        <v>65</v>
      </c>
      <c r="K4" s="6">
        <f t="shared" si="0"/>
        <v>1.4444444444444444</v>
      </c>
      <c r="L4" s="6">
        <v>45</v>
      </c>
      <c r="M4" s="6">
        <v>4</v>
      </c>
      <c r="N4" s="7">
        <f t="shared" si="1"/>
        <v>16.25</v>
      </c>
      <c r="O4" s="8">
        <v>94.56</v>
      </c>
      <c r="P4" s="9">
        <f t="shared" si="2"/>
        <v>1536.6000000000001</v>
      </c>
      <c r="Q4" s="3" t="s">
        <v>37</v>
      </c>
      <c r="R4" s="2" t="s">
        <v>28</v>
      </c>
      <c r="S4" s="2" t="s">
        <v>29</v>
      </c>
    </row>
    <row r="5" spans="1:19" ht="18" customHeight="1">
      <c r="A5" s="2" t="s">
        <v>43</v>
      </c>
      <c r="B5" s="3" t="s">
        <v>20</v>
      </c>
      <c r="C5" s="3" t="s">
        <v>44</v>
      </c>
      <c r="D5" s="10" t="s">
        <v>45</v>
      </c>
      <c r="E5" s="3" t="s">
        <v>46</v>
      </c>
      <c r="F5" s="3" t="s">
        <v>47</v>
      </c>
      <c r="G5" s="3" t="s">
        <v>48</v>
      </c>
      <c r="H5" s="3" t="s">
        <v>49</v>
      </c>
      <c r="I5" s="3" t="s">
        <v>50</v>
      </c>
      <c r="J5" s="5">
        <v>18</v>
      </c>
      <c r="K5" s="6">
        <f t="shared" si="0"/>
        <v>0.9</v>
      </c>
      <c r="L5" s="6">
        <v>20</v>
      </c>
      <c r="M5" s="6">
        <v>3.5</v>
      </c>
      <c r="N5" s="7">
        <f t="shared" si="1"/>
        <v>5.1428571428571432</v>
      </c>
      <c r="O5" s="8">
        <v>94.56</v>
      </c>
      <c r="P5" s="9">
        <f t="shared" si="2"/>
        <v>486.3085714285715</v>
      </c>
      <c r="Q5" s="3" t="s">
        <v>37</v>
      </c>
      <c r="R5" s="2" t="s">
        <v>28</v>
      </c>
      <c r="S5" s="2" t="s">
        <v>29</v>
      </c>
    </row>
    <row r="6" spans="1:19" ht="18" customHeight="1">
      <c r="A6" s="2" t="s">
        <v>51</v>
      </c>
      <c r="B6" s="3" t="s">
        <v>20</v>
      </c>
      <c r="C6" s="3" t="s">
        <v>52</v>
      </c>
      <c r="D6" s="10" t="s">
        <v>45</v>
      </c>
      <c r="E6" s="3" t="s">
        <v>53</v>
      </c>
      <c r="F6" s="3" t="s">
        <v>54</v>
      </c>
      <c r="G6" s="3" t="s">
        <v>55</v>
      </c>
      <c r="H6" s="3" t="s">
        <v>55</v>
      </c>
      <c r="I6" s="3" t="s">
        <v>56</v>
      </c>
      <c r="J6" s="5">
        <v>12</v>
      </c>
      <c r="K6" s="6">
        <f t="shared" si="0"/>
        <v>0.6</v>
      </c>
      <c r="L6" s="6">
        <v>20</v>
      </c>
      <c r="M6" s="6">
        <v>3.5</v>
      </c>
      <c r="N6" s="7">
        <f t="shared" si="1"/>
        <v>3.4285714285714284</v>
      </c>
      <c r="O6" s="8">
        <v>94.56</v>
      </c>
      <c r="P6" s="9">
        <f t="shared" si="2"/>
        <v>324.20571428571429</v>
      </c>
      <c r="Q6" s="3" t="s">
        <v>37</v>
      </c>
      <c r="R6" s="2" t="s">
        <v>28</v>
      </c>
      <c r="S6" s="2" t="s">
        <v>29</v>
      </c>
    </row>
    <row r="7" spans="1:19" ht="18" customHeight="1">
      <c r="A7" s="2" t="s">
        <v>57</v>
      </c>
      <c r="B7" s="3" t="s">
        <v>20</v>
      </c>
      <c r="C7" s="3" t="s">
        <v>58</v>
      </c>
      <c r="D7" s="11" t="s">
        <v>59</v>
      </c>
      <c r="E7" s="3" t="s">
        <v>60</v>
      </c>
      <c r="F7" s="3" t="s">
        <v>61</v>
      </c>
      <c r="G7" s="3" t="s">
        <v>62</v>
      </c>
      <c r="H7" s="3" t="s">
        <v>63</v>
      </c>
      <c r="I7" s="3" t="s">
        <v>26</v>
      </c>
      <c r="J7" s="5">
        <v>85</v>
      </c>
      <c r="K7" s="6">
        <f t="shared" si="0"/>
        <v>3.4</v>
      </c>
      <c r="L7" s="6">
        <v>25</v>
      </c>
      <c r="M7" s="6">
        <v>3</v>
      </c>
      <c r="N7" s="7">
        <f t="shared" si="1"/>
        <v>28.333333333333332</v>
      </c>
      <c r="O7" s="8">
        <v>94.56</v>
      </c>
      <c r="P7" s="9">
        <f t="shared" si="2"/>
        <v>2679.2</v>
      </c>
      <c r="Q7" s="3" t="s">
        <v>64</v>
      </c>
      <c r="R7" s="2" t="s">
        <v>28</v>
      </c>
      <c r="S7" s="2" t="s">
        <v>29</v>
      </c>
    </row>
    <row r="8" spans="1:19" ht="18" customHeight="1">
      <c r="A8" s="2" t="s">
        <v>65</v>
      </c>
      <c r="B8" s="3" t="s">
        <v>20</v>
      </c>
      <c r="C8" s="3" t="s">
        <v>66</v>
      </c>
      <c r="D8" s="12" t="s">
        <v>67</v>
      </c>
      <c r="E8" s="3" t="s">
        <v>68</v>
      </c>
      <c r="F8" s="3" t="s">
        <v>69</v>
      </c>
      <c r="G8" s="3" t="s">
        <v>70</v>
      </c>
      <c r="H8" s="3" t="s">
        <v>68</v>
      </c>
      <c r="I8" s="3" t="s">
        <v>71</v>
      </c>
      <c r="J8" s="5">
        <v>55</v>
      </c>
      <c r="K8" s="6">
        <f t="shared" si="0"/>
        <v>1.375</v>
      </c>
      <c r="L8" s="6">
        <v>40</v>
      </c>
      <c r="M8" s="6">
        <v>3.5</v>
      </c>
      <c r="N8" s="7">
        <f t="shared" si="1"/>
        <v>15.714285714285714</v>
      </c>
      <c r="O8" s="8">
        <v>94.56</v>
      </c>
      <c r="P8" s="9">
        <f t="shared" si="2"/>
        <v>1485.9428571428571</v>
      </c>
      <c r="Q8" s="3" t="s">
        <v>27</v>
      </c>
      <c r="R8" s="2" t="s">
        <v>28</v>
      </c>
      <c r="S8" s="2" t="s">
        <v>72</v>
      </c>
    </row>
    <row r="9" spans="1:19" ht="18" customHeight="1">
      <c r="A9" s="2" t="s">
        <v>73</v>
      </c>
      <c r="B9" s="3" t="s">
        <v>20</v>
      </c>
      <c r="C9" s="3" t="s">
        <v>74</v>
      </c>
      <c r="D9" s="12" t="s">
        <v>67</v>
      </c>
      <c r="E9" s="3" t="s">
        <v>75</v>
      </c>
      <c r="F9" s="3" t="s">
        <v>76</v>
      </c>
      <c r="G9" s="3" t="s">
        <v>77</v>
      </c>
      <c r="H9" s="3" t="s">
        <v>75</v>
      </c>
      <c r="I9" s="3" t="s">
        <v>78</v>
      </c>
      <c r="J9" s="5">
        <v>45</v>
      </c>
      <c r="K9" s="6">
        <f t="shared" si="0"/>
        <v>1.125</v>
      </c>
      <c r="L9" s="6">
        <v>40</v>
      </c>
      <c r="M9" s="6">
        <v>3.5</v>
      </c>
      <c r="N9" s="7">
        <f t="shared" si="1"/>
        <v>12.857142857142858</v>
      </c>
      <c r="O9" s="8">
        <v>94.56</v>
      </c>
      <c r="P9" s="9">
        <f t="shared" si="2"/>
        <v>1215.7714285714287</v>
      </c>
      <c r="Q9" s="3" t="s">
        <v>27</v>
      </c>
      <c r="R9" s="2" t="s">
        <v>28</v>
      </c>
      <c r="S9" s="2" t="s">
        <v>72</v>
      </c>
    </row>
    <row r="10" spans="1:19" ht="18" customHeight="1">
      <c r="A10" s="2" t="s">
        <v>79</v>
      </c>
      <c r="B10" s="3" t="s">
        <v>20</v>
      </c>
      <c r="C10" s="3" t="s">
        <v>80</v>
      </c>
      <c r="D10" s="13" t="s">
        <v>81</v>
      </c>
      <c r="E10" s="3" t="s">
        <v>48</v>
      </c>
      <c r="F10" s="3" t="s">
        <v>55</v>
      </c>
      <c r="G10" s="3" t="s">
        <v>82</v>
      </c>
      <c r="H10" s="3" t="s">
        <v>83</v>
      </c>
      <c r="I10" s="3" t="s">
        <v>84</v>
      </c>
      <c r="J10" s="5">
        <v>352</v>
      </c>
      <c r="K10" s="6">
        <f t="shared" si="0"/>
        <v>7.04</v>
      </c>
      <c r="L10" s="6">
        <v>50</v>
      </c>
      <c r="M10" s="6">
        <v>4.5</v>
      </c>
      <c r="N10" s="7">
        <f t="shared" si="1"/>
        <v>78.222222222222229</v>
      </c>
      <c r="O10" s="8">
        <v>94.56</v>
      </c>
      <c r="P10" s="9">
        <f t="shared" si="2"/>
        <v>7396.6933333333345</v>
      </c>
      <c r="Q10" s="3" t="s">
        <v>37</v>
      </c>
      <c r="R10" s="2" t="s">
        <v>85</v>
      </c>
      <c r="S10" s="2" t="s">
        <v>86</v>
      </c>
    </row>
    <row r="11" spans="1:19" ht="18" customHeight="1">
      <c r="A11" s="2" t="s">
        <v>87</v>
      </c>
      <c r="B11" s="3" t="s">
        <v>20</v>
      </c>
      <c r="C11" s="3" t="s">
        <v>88</v>
      </c>
      <c r="D11" s="13" t="s">
        <v>81</v>
      </c>
      <c r="E11" s="3" t="s">
        <v>55</v>
      </c>
      <c r="F11" s="3" t="s">
        <v>75</v>
      </c>
      <c r="G11" s="3" t="s">
        <v>89</v>
      </c>
      <c r="H11" s="3" t="s">
        <v>89</v>
      </c>
      <c r="I11" s="3" t="s">
        <v>78</v>
      </c>
      <c r="J11" s="5">
        <v>165</v>
      </c>
      <c r="K11" s="6">
        <f t="shared" si="0"/>
        <v>3.3</v>
      </c>
      <c r="L11" s="6">
        <v>50</v>
      </c>
      <c r="M11" s="6">
        <v>4.5</v>
      </c>
      <c r="N11" s="7">
        <f t="shared" si="1"/>
        <v>36.666666666666664</v>
      </c>
      <c r="O11" s="8">
        <v>94.56</v>
      </c>
      <c r="P11" s="9">
        <f t="shared" si="2"/>
        <v>3467.2</v>
      </c>
      <c r="Q11" s="3" t="s">
        <v>37</v>
      </c>
      <c r="R11" s="2" t="s">
        <v>85</v>
      </c>
      <c r="S11" s="2" t="s">
        <v>86</v>
      </c>
    </row>
    <row r="12" spans="1:19" ht="18" customHeight="1">
      <c r="A12" s="2" t="s">
        <v>90</v>
      </c>
      <c r="B12" s="3" t="s">
        <v>20</v>
      </c>
      <c r="C12" s="3" t="s">
        <v>91</v>
      </c>
      <c r="D12" s="13" t="s">
        <v>81</v>
      </c>
      <c r="E12" s="3" t="s">
        <v>92</v>
      </c>
      <c r="F12" s="3" t="s">
        <v>93</v>
      </c>
      <c r="G12" s="3" t="s">
        <v>94</v>
      </c>
      <c r="H12" s="3" t="s">
        <v>95</v>
      </c>
      <c r="I12" s="3" t="s">
        <v>96</v>
      </c>
      <c r="J12" s="5">
        <v>210</v>
      </c>
      <c r="K12" s="6">
        <f t="shared" si="0"/>
        <v>4.2</v>
      </c>
      <c r="L12" s="6">
        <v>50</v>
      </c>
      <c r="M12" s="6">
        <v>4.5</v>
      </c>
      <c r="N12" s="7">
        <f t="shared" si="1"/>
        <v>46.666666666666664</v>
      </c>
      <c r="O12" s="8">
        <v>94.56</v>
      </c>
      <c r="P12" s="9">
        <f t="shared" si="2"/>
        <v>4412.8</v>
      </c>
      <c r="Q12" s="3" t="s">
        <v>27</v>
      </c>
      <c r="R12" s="2" t="s">
        <v>85</v>
      </c>
      <c r="S12" s="2" t="s">
        <v>86</v>
      </c>
    </row>
    <row r="13" spans="1:19" ht="18" customHeight="1">
      <c r="A13" s="2" t="s">
        <v>97</v>
      </c>
      <c r="B13" s="3" t="s">
        <v>20</v>
      </c>
      <c r="C13" s="3" t="s">
        <v>98</v>
      </c>
      <c r="D13" s="13" t="s">
        <v>81</v>
      </c>
      <c r="E13" s="3" t="s">
        <v>23</v>
      </c>
      <c r="F13" s="3" t="s">
        <v>99</v>
      </c>
      <c r="G13" s="3" t="s">
        <v>100</v>
      </c>
      <c r="H13" s="3" t="s">
        <v>25</v>
      </c>
      <c r="I13" s="3" t="s">
        <v>101</v>
      </c>
      <c r="J13" s="5">
        <v>220</v>
      </c>
      <c r="K13" s="6">
        <f t="shared" si="0"/>
        <v>4.4000000000000004</v>
      </c>
      <c r="L13" s="6">
        <v>50</v>
      </c>
      <c r="M13" s="6">
        <v>4.5</v>
      </c>
      <c r="N13" s="7">
        <f t="shared" si="1"/>
        <v>48.888888888888886</v>
      </c>
      <c r="O13" s="8">
        <v>94.56</v>
      </c>
      <c r="P13" s="9">
        <f t="shared" si="2"/>
        <v>4622.9333333333334</v>
      </c>
      <c r="Q13" s="3" t="s">
        <v>37</v>
      </c>
      <c r="R13" s="2" t="s">
        <v>85</v>
      </c>
      <c r="S13" s="2" t="s">
        <v>86</v>
      </c>
    </row>
    <row r="14" spans="1:19" ht="18" customHeight="1">
      <c r="A14" s="2" t="s">
        <v>102</v>
      </c>
      <c r="B14" s="3" t="s">
        <v>20</v>
      </c>
      <c r="C14" s="3" t="s">
        <v>103</v>
      </c>
      <c r="D14" s="13" t="s">
        <v>81</v>
      </c>
      <c r="E14" s="3" t="s">
        <v>104</v>
      </c>
      <c r="F14" s="3" t="s">
        <v>68</v>
      </c>
      <c r="G14" s="3" t="s">
        <v>105</v>
      </c>
      <c r="H14" s="3" t="s">
        <v>68</v>
      </c>
      <c r="I14" s="3" t="s">
        <v>106</v>
      </c>
      <c r="J14" s="5">
        <v>35</v>
      </c>
      <c r="K14" s="6">
        <f t="shared" si="0"/>
        <v>0.7</v>
      </c>
      <c r="L14" s="6">
        <v>50</v>
      </c>
      <c r="M14" s="6">
        <v>4.5</v>
      </c>
      <c r="N14" s="7">
        <f t="shared" si="1"/>
        <v>7.7777777777777777</v>
      </c>
      <c r="O14" s="8">
        <v>94.56</v>
      </c>
      <c r="P14" s="9">
        <f t="shared" si="2"/>
        <v>735.4666666666667</v>
      </c>
      <c r="Q14" s="3" t="s">
        <v>37</v>
      </c>
      <c r="R14" s="2" t="s">
        <v>85</v>
      </c>
      <c r="S14" s="2" t="s">
        <v>86</v>
      </c>
    </row>
    <row r="15" spans="1:19" ht="18" customHeight="1">
      <c r="A15" s="2" t="s">
        <v>107</v>
      </c>
      <c r="B15" s="3" t="s">
        <v>20</v>
      </c>
      <c r="C15" s="3" t="s">
        <v>108</v>
      </c>
      <c r="D15" s="13" t="s">
        <v>81</v>
      </c>
      <c r="E15" s="3" t="s">
        <v>109</v>
      </c>
      <c r="F15" s="3" t="s">
        <v>48</v>
      </c>
      <c r="G15" s="3" t="s">
        <v>110</v>
      </c>
      <c r="H15" s="3" t="s">
        <v>111</v>
      </c>
      <c r="I15" s="3" t="s">
        <v>112</v>
      </c>
      <c r="J15" s="5">
        <v>275</v>
      </c>
      <c r="K15" s="6">
        <f t="shared" si="0"/>
        <v>5.5</v>
      </c>
      <c r="L15" s="6">
        <v>50</v>
      </c>
      <c r="M15" s="6">
        <v>4.5</v>
      </c>
      <c r="N15" s="7">
        <f t="shared" si="1"/>
        <v>61.111111111111114</v>
      </c>
      <c r="O15" s="8">
        <v>94.56</v>
      </c>
      <c r="P15" s="9">
        <f t="shared" si="2"/>
        <v>5778.666666666667</v>
      </c>
      <c r="Q15" s="3" t="s">
        <v>37</v>
      </c>
      <c r="R15" s="2" t="s">
        <v>85</v>
      </c>
      <c r="S15" s="2" t="s">
        <v>86</v>
      </c>
    </row>
    <row r="16" spans="1:19" ht="18" customHeight="1">
      <c r="A16" s="2" t="s">
        <v>113</v>
      </c>
      <c r="B16" s="3" t="s">
        <v>20</v>
      </c>
      <c r="C16" s="3" t="s">
        <v>114</v>
      </c>
      <c r="D16" s="13" t="s">
        <v>81</v>
      </c>
      <c r="E16" s="3" t="s">
        <v>115</v>
      </c>
      <c r="F16" s="3" t="s">
        <v>32</v>
      </c>
      <c r="G16" s="3" t="s">
        <v>116</v>
      </c>
      <c r="H16" s="3" t="s">
        <v>117</v>
      </c>
      <c r="I16" s="3" t="s">
        <v>118</v>
      </c>
      <c r="J16" s="5">
        <v>175</v>
      </c>
      <c r="K16" s="6">
        <f t="shared" si="0"/>
        <v>3.5</v>
      </c>
      <c r="L16" s="6">
        <v>50</v>
      </c>
      <c r="M16" s="6">
        <v>4.5</v>
      </c>
      <c r="N16" s="7">
        <f t="shared" si="1"/>
        <v>38.888888888888886</v>
      </c>
      <c r="O16" s="8">
        <v>94.56</v>
      </c>
      <c r="P16" s="9">
        <f t="shared" si="2"/>
        <v>3677.333333333333</v>
      </c>
      <c r="Q16" s="3" t="s">
        <v>37</v>
      </c>
      <c r="R16" s="2" t="s">
        <v>85</v>
      </c>
      <c r="S16" s="2" t="s">
        <v>86</v>
      </c>
    </row>
    <row r="17" spans="1:19" ht="18" customHeight="1">
      <c r="A17" s="2" t="s">
        <v>119</v>
      </c>
      <c r="B17" s="3" t="s">
        <v>20</v>
      </c>
      <c r="C17" s="3" t="s">
        <v>120</v>
      </c>
      <c r="D17" s="4" t="s">
        <v>22</v>
      </c>
      <c r="E17" s="3" t="s">
        <v>55</v>
      </c>
      <c r="F17" s="3" t="s">
        <v>121</v>
      </c>
      <c r="G17" s="3" t="s">
        <v>122</v>
      </c>
      <c r="H17" s="3" t="s">
        <v>123</v>
      </c>
      <c r="I17" s="3" t="s">
        <v>124</v>
      </c>
      <c r="J17" s="5">
        <v>120</v>
      </c>
      <c r="K17" s="6">
        <f t="shared" si="0"/>
        <v>2.6666666666666665</v>
      </c>
      <c r="L17" s="6">
        <v>45</v>
      </c>
      <c r="M17" s="6">
        <v>4</v>
      </c>
      <c r="N17" s="7">
        <f t="shared" si="1"/>
        <v>30</v>
      </c>
      <c r="O17" s="8">
        <v>94.56</v>
      </c>
      <c r="P17" s="9">
        <f t="shared" si="2"/>
        <v>2836.8</v>
      </c>
      <c r="Q17" s="3" t="s">
        <v>27</v>
      </c>
      <c r="R17" s="2" t="s">
        <v>28</v>
      </c>
      <c r="S17" s="2" t="s">
        <v>125</v>
      </c>
    </row>
    <row r="18" spans="1:19" ht="18" customHeight="1">
      <c r="A18" s="2" t="s">
        <v>126</v>
      </c>
      <c r="B18" s="3" t="s">
        <v>20</v>
      </c>
      <c r="C18" s="3" t="s">
        <v>127</v>
      </c>
      <c r="D18" s="4" t="s">
        <v>22</v>
      </c>
      <c r="E18" s="3" t="s">
        <v>128</v>
      </c>
      <c r="F18" s="3" t="s">
        <v>129</v>
      </c>
      <c r="G18" s="3" t="s">
        <v>130</v>
      </c>
      <c r="H18" s="3" t="s">
        <v>131</v>
      </c>
      <c r="I18" s="3" t="s">
        <v>132</v>
      </c>
      <c r="J18" s="5">
        <v>55</v>
      </c>
      <c r="K18" s="6">
        <f t="shared" si="0"/>
        <v>1.2222222222222223</v>
      </c>
      <c r="L18" s="6">
        <v>45</v>
      </c>
      <c r="M18" s="6">
        <v>4</v>
      </c>
      <c r="N18" s="7">
        <f t="shared" si="1"/>
        <v>13.75</v>
      </c>
      <c r="O18" s="8">
        <v>94.56</v>
      </c>
      <c r="P18" s="9">
        <f t="shared" si="2"/>
        <v>1300.2</v>
      </c>
      <c r="Q18" s="3" t="s">
        <v>37</v>
      </c>
      <c r="R18" s="2" t="s">
        <v>28</v>
      </c>
      <c r="S18" s="2" t="s">
        <v>125</v>
      </c>
    </row>
    <row r="19" spans="1:19" ht="18" customHeight="1">
      <c r="A19" s="2" t="s">
        <v>133</v>
      </c>
      <c r="B19" s="3" t="s">
        <v>20</v>
      </c>
      <c r="C19" s="3" t="s">
        <v>134</v>
      </c>
      <c r="D19" s="11" t="s">
        <v>59</v>
      </c>
      <c r="E19" s="3" t="s">
        <v>135</v>
      </c>
      <c r="F19" s="3" t="s">
        <v>136</v>
      </c>
      <c r="G19" s="3" t="s">
        <v>137</v>
      </c>
      <c r="H19" s="3" t="s">
        <v>131</v>
      </c>
      <c r="I19" s="3" t="s">
        <v>132</v>
      </c>
      <c r="J19" s="5">
        <v>40</v>
      </c>
      <c r="K19" s="6">
        <f t="shared" si="0"/>
        <v>1.6</v>
      </c>
      <c r="L19" s="6">
        <v>25</v>
      </c>
      <c r="M19" s="6">
        <v>3</v>
      </c>
      <c r="N19" s="7">
        <f t="shared" si="1"/>
        <v>13.333333333333334</v>
      </c>
      <c r="O19" s="8">
        <v>94.56</v>
      </c>
      <c r="P19" s="9">
        <f t="shared" si="2"/>
        <v>1260.8000000000002</v>
      </c>
      <c r="Q19" s="3" t="s">
        <v>27</v>
      </c>
      <c r="R19" s="2" t="s">
        <v>28</v>
      </c>
      <c r="S19" s="2" t="s">
        <v>138</v>
      </c>
    </row>
    <row r="20" spans="1:19" ht="18" customHeight="1">
      <c r="A20" s="2" t="s">
        <v>139</v>
      </c>
      <c r="B20" s="3" t="s">
        <v>20</v>
      </c>
      <c r="C20" s="3" t="s">
        <v>140</v>
      </c>
      <c r="D20" s="11" t="s">
        <v>59</v>
      </c>
      <c r="E20" s="3" t="s">
        <v>141</v>
      </c>
      <c r="F20" s="3" t="s">
        <v>142</v>
      </c>
      <c r="G20" s="3" t="s">
        <v>143</v>
      </c>
      <c r="H20" s="3" t="s">
        <v>75</v>
      </c>
      <c r="I20" s="3" t="s">
        <v>144</v>
      </c>
      <c r="J20" s="5">
        <v>55</v>
      </c>
      <c r="K20" s="6">
        <f t="shared" si="0"/>
        <v>2.2000000000000002</v>
      </c>
      <c r="L20" s="6">
        <v>25</v>
      </c>
      <c r="M20" s="6">
        <v>3</v>
      </c>
      <c r="N20" s="7">
        <f t="shared" si="1"/>
        <v>18.333333333333332</v>
      </c>
      <c r="O20" s="8">
        <v>94.56</v>
      </c>
      <c r="P20" s="9">
        <f t="shared" si="2"/>
        <v>1733.6</v>
      </c>
      <c r="Q20" s="3" t="s">
        <v>64</v>
      </c>
      <c r="R20" s="2" t="s">
        <v>28</v>
      </c>
      <c r="S20" s="2" t="s">
        <v>138</v>
      </c>
    </row>
    <row r="21" spans="1:19" ht="18" customHeight="1">
      <c r="A21" s="2" t="s">
        <v>145</v>
      </c>
      <c r="B21" s="3" t="s">
        <v>20</v>
      </c>
      <c r="C21" s="3" t="s">
        <v>146</v>
      </c>
      <c r="D21" s="12" t="s">
        <v>67</v>
      </c>
      <c r="E21" s="3" t="s">
        <v>147</v>
      </c>
      <c r="F21" s="3" t="s">
        <v>148</v>
      </c>
      <c r="G21" s="3" t="s">
        <v>55</v>
      </c>
      <c r="H21" s="3" t="s">
        <v>55</v>
      </c>
      <c r="I21" s="3" t="s">
        <v>149</v>
      </c>
      <c r="J21" s="5">
        <v>20</v>
      </c>
      <c r="K21" s="6">
        <f t="shared" si="0"/>
        <v>0.5</v>
      </c>
      <c r="L21" s="6">
        <v>40</v>
      </c>
      <c r="M21" s="6">
        <v>3.5</v>
      </c>
      <c r="N21" s="7">
        <f t="shared" si="1"/>
        <v>5.7142857142857144</v>
      </c>
      <c r="O21" s="8">
        <v>94.56</v>
      </c>
      <c r="P21" s="9">
        <f t="shared" si="2"/>
        <v>540.34285714285716</v>
      </c>
      <c r="Q21" s="3" t="s">
        <v>37</v>
      </c>
      <c r="R21" s="2" t="s">
        <v>28</v>
      </c>
      <c r="S21" s="2" t="s">
        <v>138</v>
      </c>
    </row>
    <row r="22" spans="1:19" ht="18" customHeight="1">
      <c r="A22" s="14" t="s">
        <v>150</v>
      </c>
      <c r="B22" s="15" t="s">
        <v>151</v>
      </c>
      <c r="C22" s="15" t="s">
        <v>152</v>
      </c>
      <c r="D22" s="10" t="s">
        <v>45</v>
      </c>
      <c r="E22" s="15" t="s">
        <v>153</v>
      </c>
      <c r="F22" s="15" t="s">
        <v>154</v>
      </c>
      <c r="G22" s="15" t="s">
        <v>155</v>
      </c>
      <c r="H22" s="15" t="s">
        <v>156</v>
      </c>
      <c r="I22" s="15" t="s">
        <v>106</v>
      </c>
      <c r="J22" s="16">
        <v>15</v>
      </c>
      <c r="K22" s="17">
        <f t="shared" si="0"/>
        <v>0.75</v>
      </c>
      <c r="L22" s="17">
        <v>20</v>
      </c>
      <c r="M22" s="17">
        <v>3.5</v>
      </c>
      <c r="N22" s="18">
        <f t="shared" si="1"/>
        <v>4.2857142857142856</v>
      </c>
      <c r="O22" s="19">
        <v>94.56</v>
      </c>
      <c r="P22" s="20">
        <f t="shared" si="2"/>
        <v>405.25714285714287</v>
      </c>
      <c r="Q22" s="15" t="s">
        <v>27</v>
      </c>
      <c r="R22" s="14" t="s">
        <v>28</v>
      </c>
      <c r="S22" s="14" t="s">
        <v>29</v>
      </c>
    </row>
    <row r="23" spans="1:19" ht="18" customHeight="1">
      <c r="A23" s="14" t="s">
        <v>157</v>
      </c>
      <c r="B23" s="15" t="s">
        <v>151</v>
      </c>
      <c r="C23" s="15" t="s">
        <v>158</v>
      </c>
      <c r="D23" s="12" t="s">
        <v>67</v>
      </c>
      <c r="E23" s="15" t="s">
        <v>159</v>
      </c>
      <c r="F23" s="15" t="s">
        <v>160</v>
      </c>
      <c r="G23" s="15" t="s">
        <v>161</v>
      </c>
      <c r="H23" s="15" t="s">
        <v>162</v>
      </c>
      <c r="I23" s="15" t="s">
        <v>163</v>
      </c>
      <c r="J23" s="16">
        <v>35</v>
      </c>
      <c r="K23" s="17">
        <f t="shared" si="0"/>
        <v>0.875</v>
      </c>
      <c r="L23" s="17">
        <v>40</v>
      </c>
      <c r="M23" s="17">
        <v>3.5</v>
      </c>
      <c r="N23" s="18">
        <f t="shared" si="1"/>
        <v>10</v>
      </c>
      <c r="O23" s="19">
        <v>94.56</v>
      </c>
      <c r="P23" s="20">
        <f t="shared" si="2"/>
        <v>945.6</v>
      </c>
      <c r="Q23" s="15" t="s">
        <v>64</v>
      </c>
      <c r="R23" s="14" t="s">
        <v>28</v>
      </c>
      <c r="S23" s="14" t="s">
        <v>72</v>
      </c>
    </row>
    <row r="24" spans="1:19" ht="18" customHeight="1">
      <c r="A24" s="14" t="s">
        <v>164</v>
      </c>
      <c r="B24" s="15" t="s">
        <v>151</v>
      </c>
      <c r="C24" s="15" t="s">
        <v>165</v>
      </c>
      <c r="D24" s="12" t="s">
        <v>67</v>
      </c>
      <c r="E24" s="15" t="s">
        <v>166</v>
      </c>
      <c r="F24" s="15" t="s">
        <v>167</v>
      </c>
      <c r="G24" s="15" t="s">
        <v>168</v>
      </c>
      <c r="H24" s="15" t="s">
        <v>169</v>
      </c>
      <c r="I24" s="15" t="s">
        <v>170</v>
      </c>
      <c r="J24" s="16">
        <v>15</v>
      </c>
      <c r="K24" s="17">
        <f t="shared" si="0"/>
        <v>0.375</v>
      </c>
      <c r="L24" s="17">
        <v>40</v>
      </c>
      <c r="M24" s="17">
        <v>3.5</v>
      </c>
      <c r="N24" s="18">
        <f t="shared" si="1"/>
        <v>4.2857142857142856</v>
      </c>
      <c r="O24" s="19">
        <v>94.56</v>
      </c>
      <c r="P24" s="20">
        <f t="shared" si="2"/>
        <v>405.25714285714287</v>
      </c>
      <c r="Q24" s="15" t="s">
        <v>27</v>
      </c>
      <c r="R24" s="14" t="s">
        <v>28</v>
      </c>
      <c r="S24" s="14" t="s">
        <v>72</v>
      </c>
    </row>
    <row r="25" spans="1:19" ht="18" customHeight="1">
      <c r="A25" s="14" t="s">
        <v>171</v>
      </c>
      <c r="B25" s="15" t="s">
        <v>151</v>
      </c>
      <c r="C25" s="15" t="s">
        <v>172</v>
      </c>
      <c r="D25" s="13" t="s">
        <v>81</v>
      </c>
      <c r="E25" s="15" t="s">
        <v>173</v>
      </c>
      <c r="F25" s="15" t="s">
        <v>174</v>
      </c>
      <c r="G25" s="15" t="s">
        <v>175</v>
      </c>
      <c r="H25" s="15" t="s">
        <v>176</v>
      </c>
      <c r="I25" s="15" t="s">
        <v>177</v>
      </c>
      <c r="J25" s="16">
        <v>320</v>
      </c>
      <c r="K25" s="17">
        <f t="shared" si="0"/>
        <v>6.4</v>
      </c>
      <c r="L25" s="17">
        <v>50</v>
      </c>
      <c r="M25" s="17">
        <v>4.5</v>
      </c>
      <c r="N25" s="18">
        <f t="shared" si="1"/>
        <v>71.111111111111114</v>
      </c>
      <c r="O25" s="19">
        <v>94.56</v>
      </c>
      <c r="P25" s="20">
        <f t="shared" si="2"/>
        <v>6724.2666666666673</v>
      </c>
      <c r="Q25" s="15" t="s">
        <v>64</v>
      </c>
      <c r="R25" s="14" t="s">
        <v>28</v>
      </c>
      <c r="S25" s="14" t="s">
        <v>86</v>
      </c>
    </row>
    <row r="26" spans="1:19" ht="18" customHeight="1">
      <c r="A26" s="14" t="s">
        <v>178</v>
      </c>
      <c r="B26" s="15" t="s">
        <v>151</v>
      </c>
      <c r="C26" s="15" t="s">
        <v>179</v>
      </c>
      <c r="D26" s="13" t="s">
        <v>81</v>
      </c>
      <c r="E26" s="15" t="s">
        <v>180</v>
      </c>
      <c r="F26" s="15" t="s">
        <v>181</v>
      </c>
      <c r="G26" s="15" t="s">
        <v>182</v>
      </c>
      <c r="H26" s="15" t="s">
        <v>183</v>
      </c>
      <c r="I26" s="15" t="s">
        <v>184</v>
      </c>
      <c r="J26" s="16">
        <v>483</v>
      </c>
      <c r="K26" s="17">
        <f t="shared" si="0"/>
        <v>9.66</v>
      </c>
      <c r="L26" s="17">
        <v>50</v>
      </c>
      <c r="M26" s="17">
        <v>4.5</v>
      </c>
      <c r="N26" s="18">
        <f t="shared" si="1"/>
        <v>107.33333333333333</v>
      </c>
      <c r="O26" s="19">
        <v>94.56</v>
      </c>
      <c r="P26" s="20">
        <f t="shared" si="2"/>
        <v>10149.44</v>
      </c>
      <c r="Q26" s="15" t="s">
        <v>27</v>
      </c>
      <c r="R26" s="14" t="s">
        <v>28</v>
      </c>
      <c r="S26" s="14" t="s">
        <v>86</v>
      </c>
    </row>
    <row r="27" spans="1:19" ht="18" customHeight="1">
      <c r="A27" s="14" t="s">
        <v>185</v>
      </c>
      <c r="B27" s="15" t="s">
        <v>151</v>
      </c>
      <c r="C27" s="15" t="s">
        <v>186</v>
      </c>
      <c r="D27" s="13" t="s">
        <v>81</v>
      </c>
      <c r="E27" s="15" t="s">
        <v>187</v>
      </c>
      <c r="F27" s="15" t="s">
        <v>188</v>
      </c>
      <c r="G27" s="15" t="s">
        <v>189</v>
      </c>
      <c r="H27" s="15" t="s">
        <v>190</v>
      </c>
      <c r="I27" s="15" t="s">
        <v>191</v>
      </c>
      <c r="J27" s="16">
        <v>275</v>
      </c>
      <c r="K27" s="17">
        <f t="shared" si="0"/>
        <v>5.5</v>
      </c>
      <c r="L27" s="17">
        <v>50</v>
      </c>
      <c r="M27" s="17">
        <v>4.5</v>
      </c>
      <c r="N27" s="18">
        <f t="shared" si="1"/>
        <v>61.111111111111114</v>
      </c>
      <c r="O27" s="19">
        <v>94.56</v>
      </c>
      <c r="P27" s="20">
        <f t="shared" si="2"/>
        <v>5778.666666666667</v>
      </c>
      <c r="Q27" s="15" t="s">
        <v>64</v>
      </c>
      <c r="R27" s="14" t="s">
        <v>28</v>
      </c>
      <c r="S27" s="14" t="s">
        <v>86</v>
      </c>
    </row>
    <row r="28" spans="1:19" ht="18" customHeight="1">
      <c r="A28" s="14" t="s">
        <v>192</v>
      </c>
      <c r="B28" s="15" t="s">
        <v>151</v>
      </c>
      <c r="C28" s="15" t="s">
        <v>193</v>
      </c>
      <c r="D28" s="13" t="s">
        <v>81</v>
      </c>
      <c r="E28" s="15" t="s">
        <v>180</v>
      </c>
      <c r="F28" s="15" t="s">
        <v>194</v>
      </c>
      <c r="G28" s="15" t="s">
        <v>195</v>
      </c>
      <c r="H28" s="15" t="s">
        <v>196</v>
      </c>
      <c r="I28" s="15" t="s">
        <v>197</v>
      </c>
      <c r="J28" s="16">
        <v>350</v>
      </c>
      <c r="K28" s="17">
        <f t="shared" si="0"/>
        <v>7</v>
      </c>
      <c r="L28" s="17">
        <v>50</v>
      </c>
      <c r="M28" s="17">
        <v>4.5</v>
      </c>
      <c r="N28" s="18">
        <f t="shared" si="1"/>
        <v>77.777777777777771</v>
      </c>
      <c r="O28" s="19">
        <v>94.56</v>
      </c>
      <c r="P28" s="20">
        <f t="shared" si="2"/>
        <v>7354.6666666666661</v>
      </c>
      <c r="Q28" s="15" t="s">
        <v>64</v>
      </c>
      <c r="R28" s="14" t="s">
        <v>28</v>
      </c>
      <c r="S28" s="14" t="s">
        <v>86</v>
      </c>
    </row>
    <row r="29" spans="1:19" ht="18" customHeight="1">
      <c r="A29" s="14" t="s">
        <v>198</v>
      </c>
      <c r="B29" s="15" t="s">
        <v>151</v>
      </c>
      <c r="C29" s="15" t="s">
        <v>199</v>
      </c>
      <c r="D29" s="4" t="s">
        <v>22</v>
      </c>
      <c r="E29" s="15" t="s">
        <v>166</v>
      </c>
      <c r="F29" s="15" t="s">
        <v>200</v>
      </c>
      <c r="G29" s="15" t="s">
        <v>201</v>
      </c>
      <c r="H29" s="15" t="s">
        <v>202</v>
      </c>
      <c r="I29" s="15" t="s">
        <v>71</v>
      </c>
      <c r="J29" s="16">
        <v>180</v>
      </c>
      <c r="K29" s="17">
        <f t="shared" si="0"/>
        <v>4</v>
      </c>
      <c r="L29" s="17">
        <v>45</v>
      </c>
      <c r="M29" s="17">
        <v>4</v>
      </c>
      <c r="N29" s="18">
        <f t="shared" si="1"/>
        <v>45</v>
      </c>
      <c r="O29" s="19">
        <v>94.56</v>
      </c>
      <c r="P29" s="20">
        <f t="shared" si="2"/>
        <v>4255.2</v>
      </c>
      <c r="Q29" s="15" t="s">
        <v>64</v>
      </c>
      <c r="R29" s="14" t="s">
        <v>28</v>
      </c>
      <c r="S29" s="14" t="s">
        <v>125</v>
      </c>
    </row>
    <row r="30" spans="1:19" ht="18" customHeight="1">
      <c r="A30" s="14" t="s">
        <v>203</v>
      </c>
      <c r="B30" s="15" t="s">
        <v>151</v>
      </c>
      <c r="C30" s="15" t="s">
        <v>204</v>
      </c>
      <c r="D30" s="4" t="s">
        <v>22</v>
      </c>
      <c r="E30" s="15" t="s">
        <v>205</v>
      </c>
      <c r="F30" s="15" t="s">
        <v>206</v>
      </c>
      <c r="G30" s="15" t="s">
        <v>207</v>
      </c>
      <c r="H30" s="15" t="s">
        <v>208</v>
      </c>
      <c r="I30" s="15" t="s">
        <v>209</v>
      </c>
      <c r="J30" s="16">
        <v>195</v>
      </c>
      <c r="K30" s="17">
        <f t="shared" si="0"/>
        <v>4.333333333333333</v>
      </c>
      <c r="L30" s="17">
        <v>45</v>
      </c>
      <c r="M30" s="17">
        <v>4</v>
      </c>
      <c r="N30" s="18">
        <f t="shared" si="1"/>
        <v>48.75</v>
      </c>
      <c r="O30" s="19">
        <v>94.56</v>
      </c>
      <c r="P30" s="20">
        <f t="shared" si="2"/>
        <v>4609.8</v>
      </c>
      <c r="Q30" s="15" t="s">
        <v>64</v>
      </c>
      <c r="R30" s="14" t="s">
        <v>28</v>
      </c>
      <c r="S30" s="14" t="s">
        <v>125</v>
      </c>
    </row>
    <row r="31" spans="1:19" ht="18" customHeight="1">
      <c r="A31" s="14" t="s">
        <v>210</v>
      </c>
      <c r="B31" s="15" t="s">
        <v>151</v>
      </c>
      <c r="C31" s="15" t="s">
        <v>211</v>
      </c>
      <c r="D31" s="4" t="s">
        <v>22</v>
      </c>
      <c r="E31" s="15" t="s">
        <v>212</v>
      </c>
      <c r="F31" s="15" t="s">
        <v>213</v>
      </c>
      <c r="G31" s="15" t="s">
        <v>214</v>
      </c>
      <c r="H31" s="15" t="s">
        <v>215</v>
      </c>
      <c r="I31" s="15" t="s">
        <v>216</v>
      </c>
      <c r="J31" s="16">
        <v>90</v>
      </c>
      <c r="K31" s="17">
        <f t="shared" si="0"/>
        <v>2</v>
      </c>
      <c r="L31" s="17">
        <v>45</v>
      </c>
      <c r="M31" s="17">
        <v>4</v>
      </c>
      <c r="N31" s="18">
        <f t="shared" si="1"/>
        <v>22.5</v>
      </c>
      <c r="O31" s="19">
        <v>94.56</v>
      </c>
      <c r="P31" s="20">
        <f t="shared" si="2"/>
        <v>2127.6</v>
      </c>
      <c r="Q31" s="15" t="s">
        <v>64</v>
      </c>
      <c r="R31" s="14" t="s">
        <v>28</v>
      </c>
      <c r="S31" s="14" t="s">
        <v>125</v>
      </c>
    </row>
    <row r="32" spans="1:19" ht="18" customHeight="1">
      <c r="A32" s="14" t="s">
        <v>217</v>
      </c>
      <c r="B32" s="15" t="s">
        <v>151</v>
      </c>
      <c r="C32" s="15" t="s">
        <v>218</v>
      </c>
      <c r="D32" s="13" t="s">
        <v>81</v>
      </c>
      <c r="E32" s="15" t="s">
        <v>181</v>
      </c>
      <c r="F32" s="15" t="s">
        <v>159</v>
      </c>
      <c r="G32" s="15" t="s">
        <v>219</v>
      </c>
      <c r="H32" s="15" t="s">
        <v>220</v>
      </c>
      <c r="I32" s="15" t="s">
        <v>221</v>
      </c>
      <c r="J32" s="16">
        <v>2000</v>
      </c>
      <c r="K32" s="17">
        <f t="shared" si="0"/>
        <v>40</v>
      </c>
      <c r="L32" s="17">
        <v>50</v>
      </c>
      <c r="M32" s="17">
        <v>4.5</v>
      </c>
      <c r="N32" s="18">
        <f t="shared" si="1"/>
        <v>444.44444444444446</v>
      </c>
      <c r="O32" s="19">
        <v>94.56</v>
      </c>
      <c r="P32" s="20">
        <f t="shared" si="2"/>
        <v>42026.666666666672</v>
      </c>
      <c r="Q32" s="15" t="s">
        <v>64</v>
      </c>
      <c r="R32" s="14" t="s">
        <v>28</v>
      </c>
      <c r="S32" s="14" t="s">
        <v>222</v>
      </c>
    </row>
    <row r="33" spans="1:19" ht="18" customHeight="1">
      <c r="A33" s="14" t="s">
        <v>223</v>
      </c>
      <c r="B33" s="15" t="s">
        <v>151</v>
      </c>
      <c r="C33" s="15" t="s">
        <v>224</v>
      </c>
      <c r="D33" s="11" t="s">
        <v>59</v>
      </c>
      <c r="E33" s="15" t="s">
        <v>225</v>
      </c>
      <c r="F33" s="15" t="s">
        <v>226</v>
      </c>
      <c r="G33" s="15" t="s">
        <v>227</v>
      </c>
      <c r="H33" s="15" t="s">
        <v>228</v>
      </c>
      <c r="I33" s="15" t="s">
        <v>229</v>
      </c>
      <c r="J33" s="16">
        <v>45</v>
      </c>
      <c r="K33" s="17">
        <f t="shared" si="0"/>
        <v>1.8</v>
      </c>
      <c r="L33" s="17">
        <v>25</v>
      </c>
      <c r="M33" s="17">
        <v>3</v>
      </c>
      <c r="N33" s="18">
        <f t="shared" si="1"/>
        <v>15</v>
      </c>
      <c r="O33" s="19">
        <v>94.56</v>
      </c>
      <c r="P33" s="20">
        <f t="shared" si="2"/>
        <v>1418.4</v>
      </c>
      <c r="Q33" s="15" t="s">
        <v>64</v>
      </c>
      <c r="R33" s="14" t="s">
        <v>28</v>
      </c>
      <c r="S33" s="14" t="s">
        <v>138</v>
      </c>
    </row>
    <row r="34" spans="1:19" ht="18" customHeight="1">
      <c r="A34" s="14" t="s">
        <v>230</v>
      </c>
      <c r="B34" s="15" t="s">
        <v>151</v>
      </c>
      <c r="C34" s="15" t="s">
        <v>231</v>
      </c>
      <c r="D34" s="11" t="s">
        <v>59</v>
      </c>
      <c r="E34" s="15" t="s">
        <v>232</v>
      </c>
      <c r="F34" s="15" t="s">
        <v>233</v>
      </c>
      <c r="G34" s="15" t="s">
        <v>234</v>
      </c>
      <c r="H34" s="15" t="s">
        <v>232</v>
      </c>
      <c r="I34" s="15" t="s">
        <v>209</v>
      </c>
      <c r="J34" s="16">
        <v>40</v>
      </c>
      <c r="K34" s="17">
        <f t="shared" si="0"/>
        <v>1.6</v>
      </c>
      <c r="L34" s="17">
        <v>25</v>
      </c>
      <c r="M34" s="17">
        <v>3</v>
      </c>
      <c r="N34" s="18">
        <f t="shared" si="1"/>
        <v>13.333333333333334</v>
      </c>
      <c r="O34" s="19">
        <v>94.56</v>
      </c>
      <c r="P34" s="20">
        <f t="shared" si="2"/>
        <v>1260.8000000000002</v>
      </c>
      <c r="Q34" s="15" t="s">
        <v>64</v>
      </c>
      <c r="R34" s="14" t="s">
        <v>28</v>
      </c>
      <c r="S34" s="14" t="s">
        <v>138</v>
      </c>
    </row>
    <row r="35" spans="1:19" ht="18" customHeight="1">
      <c r="A35" s="14" t="s">
        <v>235</v>
      </c>
      <c r="B35" s="15" t="s">
        <v>151</v>
      </c>
      <c r="C35" s="15" t="s">
        <v>236</v>
      </c>
      <c r="D35" s="11" t="s">
        <v>59</v>
      </c>
      <c r="E35" s="15" t="s">
        <v>237</v>
      </c>
      <c r="F35" s="15" t="s">
        <v>238</v>
      </c>
      <c r="G35" s="15" t="s">
        <v>239</v>
      </c>
      <c r="H35" s="15" t="s">
        <v>240</v>
      </c>
      <c r="I35" s="15" t="s">
        <v>241</v>
      </c>
      <c r="J35" s="16">
        <v>60</v>
      </c>
      <c r="K35" s="17">
        <f t="shared" si="0"/>
        <v>2.4</v>
      </c>
      <c r="L35" s="17">
        <v>25</v>
      </c>
      <c r="M35" s="17">
        <v>3</v>
      </c>
      <c r="N35" s="18">
        <f t="shared" si="1"/>
        <v>20</v>
      </c>
      <c r="O35" s="19">
        <v>94.56</v>
      </c>
      <c r="P35" s="20">
        <f t="shared" si="2"/>
        <v>1891.2</v>
      </c>
      <c r="Q35" s="15" t="s">
        <v>64</v>
      </c>
      <c r="R35" s="14" t="s">
        <v>28</v>
      </c>
      <c r="S35" s="14" t="s">
        <v>138</v>
      </c>
    </row>
    <row r="36" spans="1:19" ht="18" customHeight="1">
      <c r="A36" s="14" t="s">
        <v>242</v>
      </c>
      <c r="B36" s="15" t="s">
        <v>151</v>
      </c>
      <c r="C36" s="15" t="s">
        <v>243</v>
      </c>
      <c r="D36" s="11" t="s">
        <v>59</v>
      </c>
      <c r="E36" s="15" t="s">
        <v>181</v>
      </c>
      <c r="F36" s="15" t="s">
        <v>244</v>
      </c>
      <c r="G36" s="15" t="s">
        <v>245</v>
      </c>
      <c r="H36" s="15" t="s">
        <v>181</v>
      </c>
      <c r="I36" s="15" t="s">
        <v>246</v>
      </c>
      <c r="J36" s="16">
        <v>60</v>
      </c>
      <c r="K36" s="17">
        <f t="shared" si="0"/>
        <v>2.4</v>
      </c>
      <c r="L36" s="17">
        <v>25</v>
      </c>
      <c r="M36" s="17">
        <v>3</v>
      </c>
      <c r="N36" s="18">
        <f t="shared" si="1"/>
        <v>20</v>
      </c>
      <c r="O36" s="19">
        <v>94.56</v>
      </c>
      <c r="P36" s="20">
        <f t="shared" si="2"/>
        <v>1891.2</v>
      </c>
      <c r="Q36" s="15" t="s">
        <v>64</v>
      </c>
      <c r="R36" s="14" t="s">
        <v>28</v>
      </c>
      <c r="S36" s="14" t="s">
        <v>138</v>
      </c>
    </row>
    <row r="37" spans="1:19" ht="18" customHeight="1">
      <c r="A37" s="14" t="s">
        <v>247</v>
      </c>
      <c r="B37" s="15" t="s">
        <v>151</v>
      </c>
      <c r="C37" s="15" t="s">
        <v>248</v>
      </c>
      <c r="D37" s="11" t="s">
        <v>59</v>
      </c>
      <c r="E37" s="15" t="s">
        <v>249</v>
      </c>
      <c r="F37" s="15" t="s">
        <v>250</v>
      </c>
      <c r="G37" s="15" t="s">
        <v>251</v>
      </c>
      <c r="H37" s="15" t="s">
        <v>252</v>
      </c>
      <c r="I37" s="15" t="s">
        <v>253</v>
      </c>
      <c r="J37" s="16">
        <v>70</v>
      </c>
      <c r="K37" s="17">
        <f t="shared" si="0"/>
        <v>2.8</v>
      </c>
      <c r="L37" s="17">
        <v>25</v>
      </c>
      <c r="M37" s="17">
        <v>3</v>
      </c>
      <c r="N37" s="18">
        <f t="shared" si="1"/>
        <v>23.333333333333332</v>
      </c>
      <c r="O37" s="19">
        <v>94.56</v>
      </c>
      <c r="P37" s="20">
        <f t="shared" si="2"/>
        <v>2206.4</v>
      </c>
      <c r="Q37" s="15" t="s">
        <v>64</v>
      </c>
      <c r="R37" s="14" t="s">
        <v>28</v>
      </c>
      <c r="S37" s="14" t="s">
        <v>138</v>
      </c>
    </row>
    <row r="38" spans="1:19" ht="18" customHeight="1">
      <c r="A38" s="21" t="s">
        <v>254</v>
      </c>
      <c r="B38" s="13" t="s">
        <v>255</v>
      </c>
      <c r="C38" s="13" t="s">
        <v>256</v>
      </c>
      <c r="D38" s="10" t="s">
        <v>45</v>
      </c>
      <c r="E38" s="13" t="s">
        <v>257</v>
      </c>
      <c r="F38" s="13" t="s">
        <v>258</v>
      </c>
      <c r="G38" s="13" t="s">
        <v>259</v>
      </c>
      <c r="H38" s="13" t="s">
        <v>259</v>
      </c>
      <c r="I38" s="13" t="s">
        <v>260</v>
      </c>
      <c r="J38" s="22">
        <v>12</v>
      </c>
      <c r="K38" s="23">
        <f t="shared" si="0"/>
        <v>0.6</v>
      </c>
      <c r="L38" s="23">
        <v>20</v>
      </c>
      <c r="M38" s="23">
        <v>3.5</v>
      </c>
      <c r="N38" s="24">
        <f t="shared" si="1"/>
        <v>3.4285714285714284</v>
      </c>
      <c r="O38" s="25">
        <v>94.56</v>
      </c>
      <c r="P38" s="26">
        <f t="shared" si="2"/>
        <v>324.20571428571429</v>
      </c>
      <c r="Q38" s="13" t="s">
        <v>27</v>
      </c>
      <c r="R38" s="21" t="s">
        <v>28</v>
      </c>
      <c r="S38" s="21" t="s">
        <v>29</v>
      </c>
    </row>
    <row r="39" spans="1:19" ht="18" customHeight="1">
      <c r="A39" s="21" t="s">
        <v>261</v>
      </c>
      <c r="B39" s="13" t="s">
        <v>255</v>
      </c>
      <c r="C39" s="13" t="s">
        <v>262</v>
      </c>
      <c r="D39" s="10" t="s">
        <v>45</v>
      </c>
      <c r="E39" s="13" t="s">
        <v>263</v>
      </c>
      <c r="F39" s="13" t="s">
        <v>264</v>
      </c>
      <c r="G39" s="13" t="s">
        <v>265</v>
      </c>
      <c r="H39" s="13" t="s">
        <v>266</v>
      </c>
      <c r="I39" s="13" t="s">
        <v>267</v>
      </c>
      <c r="J39" s="22">
        <v>40</v>
      </c>
      <c r="K39" s="23">
        <f t="shared" si="0"/>
        <v>2</v>
      </c>
      <c r="L39" s="23">
        <v>20</v>
      </c>
      <c r="M39" s="23">
        <v>3.5</v>
      </c>
      <c r="N39" s="24">
        <f t="shared" si="1"/>
        <v>11.428571428571429</v>
      </c>
      <c r="O39" s="25">
        <v>94.56</v>
      </c>
      <c r="P39" s="26">
        <f t="shared" si="2"/>
        <v>1080.6857142857143</v>
      </c>
      <c r="Q39" s="13" t="s">
        <v>37</v>
      </c>
      <c r="R39" s="21" t="s">
        <v>28</v>
      </c>
      <c r="S39" s="21" t="s">
        <v>29</v>
      </c>
    </row>
    <row r="40" spans="1:19" ht="18" customHeight="1">
      <c r="A40" s="21" t="s">
        <v>268</v>
      </c>
      <c r="B40" s="13" t="s">
        <v>255</v>
      </c>
      <c r="C40" s="13" t="s">
        <v>269</v>
      </c>
      <c r="D40" s="10" t="s">
        <v>45</v>
      </c>
      <c r="E40" s="13" t="s">
        <v>270</v>
      </c>
      <c r="F40" s="13" t="s">
        <v>271</v>
      </c>
      <c r="G40" s="13" t="s">
        <v>272</v>
      </c>
      <c r="H40" s="13" t="s">
        <v>273</v>
      </c>
      <c r="I40" s="13" t="s">
        <v>274</v>
      </c>
      <c r="J40" s="22">
        <v>10</v>
      </c>
      <c r="K40" s="23">
        <f t="shared" si="0"/>
        <v>0.5</v>
      </c>
      <c r="L40" s="23">
        <v>20</v>
      </c>
      <c r="M40" s="23">
        <v>3.5</v>
      </c>
      <c r="N40" s="24">
        <f t="shared" si="1"/>
        <v>2.8571428571428572</v>
      </c>
      <c r="O40" s="25">
        <v>94.56</v>
      </c>
      <c r="P40" s="26">
        <f t="shared" si="2"/>
        <v>270.17142857142858</v>
      </c>
      <c r="Q40" s="13" t="s">
        <v>27</v>
      </c>
      <c r="R40" s="21" t="s">
        <v>28</v>
      </c>
      <c r="S40" s="21" t="s">
        <v>29</v>
      </c>
    </row>
    <row r="41" spans="1:19" ht="18" customHeight="1">
      <c r="A41" s="21" t="s">
        <v>275</v>
      </c>
      <c r="B41" s="13" t="s">
        <v>255</v>
      </c>
      <c r="C41" s="13" t="s">
        <v>276</v>
      </c>
      <c r="D41" s="12" t="s">
        <v>67</v>
      </c>
      <c r="E41" s="13" t="s">
        <v>277</v>
      </c>
      <c r="F41" s="13" t="s">
        <v>278</v>
      </c>
      <c r="G41" s="13" t="s">
        <v>279</v>
      </c>
      <c r="H41" s="13" t="s">
        <v>279</v>
      </c>
      <c r="I41" s="13" t="s">
        <v>280</v>
      </c>
      <c r="J41" s="22">
        <v>45</v>
      </c>
      <c r="K41" s="23">
        <f t="shared" si="0"/>
        <v>1.125</v>
      </c>
      <c r="L41" s="23">
        <v>40</v>
      </c>
      <c r="M41" s="23">
        <v>3.5</v>
      </c>
      <c r="N41" s="24">
        <f t="shared" si="1"/>
        <v>12.857142857142858</v>
      </c>
      <c r="O41" s="25">
        <v>94.56</v>
      </c>
      <c r="P41" s="26">
        <f t="shared" si="2"/>
        <v>1215.7714285714287</v>
      </c>
      <c r="Q41" s="13" t="s">
        <v>27</v>
      </c>
      <c r="R41" s="21" t="s">
        <v>28</v>
      </c>
      <c r="S41" s="21" t="s">
        <v>72</v>
      </c>
    </row>
    <row r="42" spans="1:19" ht="18" customHeight="1">
      <c r="A42" s="21" t="s">
        <v>281</v>
      </c>
      <c r="B42" s="13" t="s">
        <v>255</v>
      </c>
      <c r="C42" s="13" t="s">
        <v>282</v>
      </c>
      <c r="D42" s="12" t="s">
        <v>67</v>
      </c>
      <c r="E42" s="13" t="s">
        <v>283</v>
      </c>
      <c r="F42" s="13" t="s">
        <v>284</v>
      </c>
      <c r="G42" s="13" t="s">
        <v>285</v>
      </c>
      <c r="H42" s="13" t="s">
        <v>286</v>
      </c>
      <c r="I42" s="13" t="s">
        <v>287</v>
      </c>
      <c r="J42" s="22">
        <v>30</v>
      </c>
      <c r="K42" s="23">
        <f t="shared" si="0"/>
        <v>0.75</v>
      </c>
      <c r="L42" s="23">
        <v>40</v>
      </c>
      <c r="M42" s="23">
        <v>3.5</v>
      </c>
      <c r="N42" s="24">
        <f t="shared" si="1"/>
        <v>8.5714285714285712</v>
      </c>
      <c r="O42" s="25">
        <v>94.56</v>
      </c>
      <c r="P42" s="26">
        <f t="shared" si="2"/>
        <v>810.51428571428573</v>
      </c>
      <c r="Q42" s="13" t="s">
        <v>27</v>
      </c>
      <c r="R42" s="21" t="s">
        <v>28</v>
      </c>
      <c r="S42" s="21" t="s">
        <v>72</v>
      </c>
    </row>
    <row r="43" spans="1:19" ht="18" customHeight="1">
      <c r="A43" s="21" t="s">
        <v>288</v>
      </c>
      <c r="B43" s="13" t="s">
        <v>255</v>
      </c>
      <c r="C43" s="13" t="s">
        <v>289</v>
      </c>
      <c r="D43" s="13" t="s">
        <v>81</v>
      </c>
      <c r="E43" s="13" t="s">
        <v>290</v>
      </c>
      <c r="F43" s="13" t="s">
        <v>291</v>
      </c>
      <c r="G43" s="13" t="s">
        <v>292</v>
      </c>
      <c r="H43" s="13" t="s">
        <v>293</v>
      </c>
      <c r="I43" s="13" t="s">
        <v>294</v>
      </c>
      <c r="J43" s="22">
        <v>115</v>
      </c>
      <c r="K43" s="23">
        <f t="shared" si="0"/>
        <v>2.2999999999999998</v>
      </c>
      <c r="L43" s="23">
        <v>50</v>
      </c>
      <c r="M43" s="23">
        <v>4.5</v>
      </c>
      <c r="N43" s="24">
        <f t="shared" si="1"/>
        <v>25.555555555555557</v>
      </c>
      <c r="O43" s="25">
        <v>94.56</v>
      </c>
      <c r="P43" s="26">
        <f t="shared" si="2"/>
        <v>2416.5333333333338</v>
      </c>
      <c r="Q43" s="13" t="s">
        <v>27</v>
      </c>
      <c r="R43" s="21" t="s">
        <v>85</v>
      </c>
      <c r="S43" s="21" t="s">
        <v>86</v>
      </c>
    </row>
    <row r="44" spans="1:19" ht="18" customHeight="1">
      <c r="A44" s="21" t="s">
        <v>295</v>
      </c>
      <c r="B44" s="13" t="s">
        <v>255</v>
      </c>
      <c r="C44" s="13" t="s">
        <v>296</v>
      </c>
      <c r="D44" s="13" t="s">
        <v>81</v>
      </c>
      <c r="E44" s="13" t="s">
        <v>265</v>
      </c>
      <c r="F44" s="13" t="s">
        <v>297</v>
      </c>
      <c r="G44" s="13" t="s">
        <v>298</v>
      </c>
      <c r="H44" s="13" t="s">
        <v>299</v>
      </c>
      <c r="I44" s="13" t="s">
        <v>300</v>
      </c>
      <c r="J44" s="22">
        <v>255</v>
      </c>
      <c r="K44" s="23">
        <f t="shared" si="0"/>
        <v>5.0999999999999996</v>
      </c>
      <c r="L44" s="23">
        <v>50</v>
      </c>
      <c r="M44" s="23">
        <v>4.5</v>
      </c>
      <c r="N44" s="24">
        <f t="shared" si="1"/>
        <v>56.666666666666664</v>
      </c>
      <c r="O44" s="25">
        <v>94.56</v>
      </c>
      <c r="P44" s="26">
        <f t="shared" si="2"/>
        <v>5358.4</v>
      </c>
      <c r="Q44" s="13" t="s">
        <v>27</v>
      </c>
      <c r="R44" s="21" t="s">
        <v>85</v>
      </c>
      <c r="S44" s="21" t="s">
        <v>86</v>
      </c>
    </row>
    <row r="45" spans="1:19" ht="18" customHeight="1">
      <c r="A45" s="21" t="s">
        <v>301</v>
      </c>
      <c r="B45" s="13" t="s">
        <v>255</v>
      </c>
      <c r="C45" s="13" t="s">
        <v>302</v>
      </c>
      <c r="D45" s="13" t="s">
        <v>81</v>
      </c>
      <c r="E45" s="13" t="s">
        <v>297</v>
      </c>
      <c r="F45" s="13" t="s">
        <v>259</v>
      </c>
      <c r="G45" s="13" t="s">
        <v>303</v>
      </c>
      <c r="H45" s="13" t="s">
        <v>304</v>
      </c>
      <c r="I45" s="13" t="s">
        <v>305</v>
      </c>
      <c r="J45" s="22">
        <v>590</v>
      </c>
      <c r="K45" s="23">
        <f t="shared" si="0"/>
        <v>11.8</v>
      </c>
      <c r="L45" s="23">
        <v>50</v>
      </c>
      <c r="M45" s="23">
        <v>4.5</v>
      </c>
      <c r="N45" s="24">
        <f t="shared" si="1"/>
        <v>131.11111111111111</v>
      </c>
      <c r="O45" s="25">
        <v>94.56</v>
      </c>
      <c r="P45" s="26">
        <f t="shared" si="2"/>
        <v>12397.866666666667</v>
      </c>
      <c r="Q45" s="13" t="s">
        <v>27</v>
      </c>
      <c r="R45" s="21" t="s">
        <v>85</v>
      </c>
      <c r="S45" s="21" t="s">
        <v>86</v>
      </c>
    </row>
    <row r="46" spans="1:19" ht="18" customHeight="1">
      <c r="A46" s="21" t="s">
        <v>306</v>
      </c>
      <c r="B46" s="13" t="s">
        <v>255</v>
      </c>
      <c r="C46" s="13" t="s">
        <v>307</v>
      </c>
      <c r="D46" s="13" t="s">
        <v>81</v>
      </c>
      <c r="E46" s="13" t="s">
        <v>308</v>
      </c>
      <c r="F46" s="13" t="s">
        <v>309</v>
      </c>
      <c r="G46" s="13" t="s">
        <v>310</v>
      </c>
      <c r="H46" s="13" t="s">
        <v>311</v>
      </c>
      <c r="I46" s="13" t="s">
        <v>287</v>
      </c>
      <c r="J46" s="22">
        <v>310</v>
      </c>
      <c r="K46" s="23">
        <f t="shared" si="0"/>
        <v>6.2</v>
      </c>
      <c r="L46" s="23">
        <v>50</v>
      </c>
      <c r="M46" s="23">
        <v>4.5</v>
      </c>
      <c r="N46" s="24">
        <f t="shared" si="1"/>
        <v>68.888888888888886</v>
      </c>
      <c r="O46" s="25">
        <v>94.56</v>
      </c>
      <c r="P46" s="26">
        <f t="shared" si="2"/>
        <v>6514.1333333333332</v>
      </c>
      <c r="Q46" s="13" t="s">
        <v>27</v>
      </c>
      <c r="R46" s="21" t="s">
        <v>85</v>
      </c>
      <c r="S46" s="21" t="s">
        <v>86</v>
      </c>
    </row>
    <row r="47" spans="1:19" ht="18" customHeight="1">
      <c r="A47" s="21" t="s">
        <v>312</v>
      </c>
      <c r="B47" s="13" t="s">
        <v>255</v>
      </c>
      <c r="C47" s="13" t="s">
        <v>313</v>
      </c>
      <c r="D47" s="13" t="s">
        <v>81</v>
      </c>
      <c r="E47" s="13" t="s">
        <v>314</v>
      </c>
      <c r="F47" s="13" t="s">
        <v>315</v>
      </c>
      <c r="G47" s="13" t="s">
        <v>316</v>
      </c>
      <c r="H47" s="13" t="s">
        <v>317</v>
      </c>
      <c r="I47" s="13" t="s">
        <v>318</v>
      </c>
      <c r="J47" s="22">
        <v>35</v>
      </c>
      <c r="K47" s="23">
        <f t="shared" si="0"/>
        <v>0.7</v>
      </c>
      <c r="L47" s="23">
        <v>50</v>
      </c>
      <c r="M47" s="23">
        <v>4.5</v>
      </c>
      <c r="N47" s="24">
        <f t="shared" si="1"/>
        <v>7.7777777777777777</v>
      </c>
      <c r="O47" s="25">
        <v>94.56</v>
      </c>
      <c r="P47" s="26">
        <f t="shared" si="2"/>
        <v>735.4666666666667</v>
      </c>
      <c r="Q47" s="13" t="s">
        <v>27</v>
      </c>
      <c r="R47" s="21" t="s">
        <v>28</v>
      </c>
      <c r="S47" s="21" t="s">
        <v>86</v>
      </c>
    </row>
    <row r="48" spans="1:19" ht="18" customHeight="1">
      <c r="A48" s="21" t="s">
        <v>319</v>
      </c>
      <c r="B48" s="13" t="s">
        <v>255</v>
      </c>
      <c r="C48" s="13" t="s">
        <v>320</v>
      </c>
      <c r="D48" s="13" t="s">
        <v>81</v>
      </c>
      <c r="E48" s="13" t="s">
        <v>283</v>
      </c>
      <c r="F48" s="13" t="s">
        <v>321</v>
      </c>
      <c r="G48" s="13" t="s">
        <v>322</v>
      </c>
      <c r="H48" s="13" t="s">
        <v>323</v>
      </c>
      <c r="I48" s="13" t="s">
        <v>324</v>
      </c>
      <c r="J48" s="22">
        <v>75</v>
      </c>
      <c r="K48" s="23">
        <f t="shared" si="0"/>
        <v>1.5</v>
      </c>
      <c r="L48" s="23">
        <v>50</v>
      </c>
      <c r="M48" s="23">
        <v>4.5</v>
      </c>
      <c r="N48" s="24">
        <f t="shared" si="1"/>
        <v>16.666666666666668</v>
      </c>
      <c r="O48" s="25">
        <v>94.56</v>
      </c>
      <c r="P48" s="26">
        <f t="shared" si="2"/>
        <v>1576.0000000000002</v>
      </c>
      <c r="Q48" s="13" t="s">
        <v>27</v>
      </c>
      <c r="R48" s="21" t="s">
        <v>28</v>
      </c>
      <c r="S48" s="21" t="s">
        <v>86</v>
      </c>
    </row>
    <row r="49" spans="1:19" ht="18" customHeight="1">
      <c r="A49" s="21" t="s">
        <v>325</v>
      </c>
      <c r="B49" s="13" t="s">
        <v>255</v>
      </c>
      <c r="C49" s="13" t="s">
        <v>326</v>
      </c>
      <c r="D49" s="13" t="s">
        <v>81</v>
      </c>
      <c r="E49" s="13" t="s">
        <v>272</v>
      </c>
      <c r="F49" s="13" t="s">
        <v>327</v>
      </c>
      <c r="G49" s="13" t="s">
        <v>328</v>
      </c>
      <c r="H49" s="13" t="s">
        <v>329</v>
      </c>
      <c r="I49" s="13" t="s">
        <v>330</v>
      </c>
      <c r="J49" s="22">
        <v>105</v>
      </c>
      <c r="K49" s="23">
        <f t="shared" si="0"/>
        <v>2.1</v>
      </c>
      <c r="L49" s="23">
        <v>50</v>
      </c>
      <c r="M49" s="23">
        <v>4.5</v>
      </c>
      <c r="N49" s="24">
        <f t="shared" si="1"/>
        <v>23.333333333333332</v>
      </c>
      <c r="O49" s="25">
        <v>94.56</v>
      </c>
      <c r="P49" s="26">
        <f t="shared" si="2"/>
        <v>2206.4</v>
      </c>
      <c r="Q49" s="13" t="s">
        <v>64</v>
      </c>
      <c r="R49" s="21" t="s">
        <v>28</v>
      </c>
      <c r="S49" s="21" t="s">
        <v>86</v>
      </c>
    </row>
    <row r="50" spans="1:19" ht="18" customHeight="1">
      <c r="A50" s="21" t="s">
        <v>331</v>
      </c>
      <c r="B50" s="13" t="s">
        <v>255</v>
      </c>
      <c r="C50" s="13" t="s">
        <v>332</v>
      </c>
      <c r="D50" s="4" t="s">
        <v>22</v>
      </c>
      <c r="E50" s="13" t="s">
        <v>265</v>
      </c>
      <c r="F50" s="13" t="s">
        <v>333</v>
      </c>
      <c r="G50" s="13" t="s">
        <v>334</v>
      </c>
      <c r="H50" s="13" t="s">
        <v>335</v>
      </c>
      <c r="I50" s="13" t="s">
        <v>294</v>
      </c>
      <c r="J50" s="22">
        <v>165</v>
      </c>
      <c r="K50" s="23">
        <f t="shared" si="0"/>
        <v>3.6666666666666665</v>
      </c>
      <c r="L50" s="23">
        <v>45</v>
      </c>
      <c r="M50" s="23">
        <v>4</v>
      </c>
      <c r="N50" s="24">
        <f t="shared" si="1"/>
        <v>41.25</v>
      </c>
      <c r="O50" s="25">
        <v>94.56</v>
      </c>
      <c r="P50" s="26">
        <f t="shared" si="2"/>
        <v>3900.6</v>
      </c>
      <c r="Q50" s="13" t="s">
        <v>27</v>
      </c>
      <c r="R50" s="21" t="s">
        <v>28</v>
      </c>
      <c r="S50" s="21" t="s">
        <v>125</v>
      </c>
    </row>
    <row r="51" spans="1:19" ht="18" customHeight="1">
      <c r="A51" s="21" t="s">
        <v>336</v>
      </c>
      <c r="B51" s="13" t="s">
        <v>255</v>
      </c>
      <c r="C51" s="13" t="s">
        <v>337</v>
      </c>
      <c r="D51" s="4" t="s">
        <v>22</v>
      </c>
      <c r="E51" s="13" t="s">
        <v>338</v>
      </c>
      <c r="F51" s="13" t="s">
        <v>277</v>
      </c>
      <c r="G51" s="13" t="s">
        <v>339</v>
      </c>
      <c r="H51" s="13" t="s">
        <v>277</v>
      </c>
      <c r="I51" s="13" t="s">
        <v>280</v>
      </c>
      <c r="J51" s="22">
        <v>80</v>
      </c>
      <c r="K51" s="23">
        <f t="shared" si="0"/>
        <v>1.7777777777777777</v>
      </c>
      <c r="L51" s="23">
        <v>45</v>
      </c>
      <c r="M51" s="23">
        <v>4</v>
      </c>
      <c r="N51" s="24">
        <f t="shared" si="1"/>
        <v>20</v>
      </c>
      <c r="O51" s="25">
        <v>94.56</v>
      </c>
      <c r="P51" s="26">
        <f t="shared" si="2"/>
        <v>1891.2</v>
      </c>
      <c r="Q51" s="13" t="s">
        <v>27</v>
      </c>
      <c r="R51" s="21" t="s">
        <v>28</v>
      </c>
      <c r="S51" s="21" t="s">
        <v>125</v>
      </c>
    </row>
    <row r="52" spans="1:19" ht="18" customHeight="1">
      <c r="A52" s="21" t="s">
        <v>340</v>
      </c>
      <c r="B52" s="13" t="s">
        <v>255</v>
      </c>
      <c r="C52" s="13" t="s">
        <v>341</v>
      </c>
      <c r="D52" s="4" t="s">
        <v>22</v>
      </c>
      <c r="E52" s="13" t="s">
        <v>283</v>
      </c>
      <c r="F52" s="13" t="s">
        <v>342</v>
      </c>
      <c r="G52" s="13" t="s">
        <v>343</v>
      </c>
      <c r="H52" s="13" t="s">
        <v>344</v>
      </c>
      <c r="I52" s="13" t="s">
        <v>280</v>
      </c>
      <c r="J52" s="22">
        <v>55</v>
      </c>
      <c r="K52" s="23">
        <f t="shared" si="0"/>
        <v>1.2222222222222223</v>
      </c>
      <c r="L52" s="23">
        <v>45</v>
      </c>
      <c r="M52" s="23">
        <v>4</v>
      </c>
      <c r="N52" s="24">
        <f t="shared" si="1"/>
        <v>13.75</v>
      </c>
      <c r="O52" s="25">
        <v>94.56</v>
      </c>
      <c r="P52" s="26">
        <f t="shared" si="2"/>
        <v>1300.2</v>
      </c>
      <c r="Q52" s="13" t="s">
        <v>27</v>
      </c>
      <c r="R52" s="21" t="s">
        <v>28</v>
      </c>
      <c r="S52" s="21" t="s">
        <v>125</v>
      </c>
    </row>
    <row r="53" spans="1:19" ht="18" customHeight="1">
      <c r="A53" s="21" t="s">
        <v>345</v>
      </c>
      <c r="B53" s="13" t="s">
        <v>255</v>
      </c>
      <c r="C53" s="13" t="s">
        <v>346</v>
      </c>
      <c r="D53" s="11" t="s">
        <v>59</v>
      </c>
      <c r="E53" s="13" t="s">
        <v>347</v>
      </c>
      <c r="F53" s="13" t="s">
        <v>348</v>
      </c>
      <c r="G53" s="13" t="s">
        <v>349</v>
      </c>
      <c r="H53" s="13" t="s">
        <v>347</v>
      </c>
      <c r="I53" s="13" t="s">
        <v>330</v>
      </c>
      <c r="J53" s="22">
        <v>55</v>
      </c>
      <c r="K53" s="23">
        <f t="shared" si="0"/>
        <v>2.2000000000000002</v>
      </c>
      <c r="L53" s="23">
        <v>25</v>
      </c>
      <c r="M53" s="23">
        <v>3</v>
      </c>
      <c r="N53" s="24">
        <f t="shared" si="1"/>
        <v>18.333333333333332</v>
      </c>
      <c r="O53" s="25">
        <v>94.56</v>
      </c>
      <c r="P53" s="26">
        <f t="shared" si="2"/>
        <v>1733.6</v>
      </c>
      <c r="Q53" s="13" t="s">
        <v>64</v>
      </c>
      <c r="R53" s="21" t="s">
        <v>28</v>
      </c>
      <c r="S53" s="21" t="s">
        <v>138</v>
      </c>
    </row>
    <row r="54" spans="1:19" ht="18" customHeight="1">
      <c r="A54" s="21" t="s">
        <v>350</v>
      </c>
      <c r="B54" s="13" t="s">
        <v>255</v>
      </c>
      <c r="C54" s="13" t="s">
        <v>351</v>
      </c>
      <c r="D54" s="11" t="s">
        <v>59</v>
      </c>
      <c r="E54" s="13" t="s">
        <v>352</v>
      </c>
      <c r="F54" s="13" t="s">
        <v>353</v>
      </c>
      <c r="G54" s="13" t="s">
        <v>354</v>
      </c>
      <c r="H54" s="13" t="s">
        <v>352</v>
      </c>
      <c r="I54" s="13" t="s">
        <v>355</v>
      </c>
      <c r="J54" s="22">
        <v>35</v>
      </c>
      <c r="K54" s="23">
        <f t="shared" si="0"/>
        <v>1.4</v>
      </c>
      <c r="L54" s="23">
        <v>25</v>
      </c>
      <c r="M54" s="23">
        <v>3</v>
      </c>
      <c r="N54" s="24">
        <f t="shared" si="1"/>
        <v>11.666666666666666</v>
      </c>
      <c r="O54" s="25">
        <v>94.56</v>
      </c>
      <c r="P54" s="26">
        <f t="shared" si="2"/>
        <v>1103.2</v>
      </c>
      <c r="Q54" s="13" t="s">
        <v>64</v>
      </c>
      <c r="R54" s="21" t="s">
        <v>28</v>
      </c>
      <c r="S54" s="21" t="s">
        <v>138</v>
      </c>
    </row>
    <row r="55" spans="1:19" ht="18" customHeight="1">
      <c r="A55" s="21" t="s">
        <v>356</v>
      </c>
      <c r="B55" s="13" t="s">
        <v>255</v>
      </c>
      <c r="C55" s="13" t="s">
        <v>357</v>
      </c>
      <c r="D55" s="11" t="s">
        <v>59</v>
      </c>
      <c r="E55" s="13" t="s">
        <v>358</v>
      </c>
      <c r="F55" s="13" t="s">
        <v>359</v>
      </c>
      <c r="G55" s="13" t="s">
        <v>360</v>
      </c>
      <c r="H55" s="13" t="s">
        <v>361</v>
      </c>
      <c r="I55" s="13" t="s">
        <v>362</v>
      </c>
      <c r="J55" s="22">
        <v>65</v>
      </c>
      <c r="K55" s="23">
        <f t="shared" si="0"/>
        <v>2.6</v>
      </c>
      <c r="L55" s="23">
        <v>25</v>
      </c>
      <c r="M55" s="23">
        <v>3</v>
      </c>
      <c r="N55" s="24">
        <f t="shared" si="1"/>
        <v>21.666666666666668</v>
      </c>
      <c r="O55" s="25">
        <v>94.56</v>
      </c>
      <c r="P55" s="26">
        <f t="shared" si="2"/>
        <v>2048.8000000000002</v>
      </c>
      <c r="Q55" s="13" t="s">
        <v>64</v>
      </c>
      <c r="R55" s="21" t="s">
        <v>28</v>
      </c>
      <c r="S55" s="21" t="s">
        <v>138</v>
      </c>
    </row>
    <row r="56" spans="1:19" ht="18" customHeight="1">
      <c r="A56" s="27" t="s">
        <v>363</v>
      </c>
      <c r="B56" s="12" t="s">
        <v>364</v>
      </c>
      <c r="C56" s="12" t="s">
        <v>365</v>
      </c>
      <c r="D56" s="10" t="s">
        <v>45</v>
      </c>
      <c r="E56" s="12" t="s">
        <v>366</v>
      </c>
      <c r="F56" s="12" t="s">
        <v>367</v>
      </c>
      <c r="G56" s="12" t="s">
        <v>368</v>
      </c>
      <c r="H56" s="12" t="s">
        <v>368</v>
      </c>
      <c r="I56" s="12" t="s">
        <v>369</v>
      </c>
      <c r="J56" s="28">
        <v>10</v>
      </c>
      <c r="K56" s="29">
        <f t="shared" si="0"/>
        <v>0.5</v>
      </c>
      <c r="L56" s="29">
        <v>20</v>
      </c>
      <c r="M56" s="29">
        <v>3.5</v>
      </c>
      <c r="N56" s="30">
        <f t="shared" si="1"/>
        <v>2.8571428571428572</v>
      </c>
      <c r="O56" s="31">
        <v>94.56</v>
      </c>
      <c r="P56" s="32">
        <f t="shared" si="2"/>
        <v>270.17142857142858</v>
      </c>
      <c r="Q56" s="12" t="s">
        <v>27</v>
      </c>
      <c r="R56" s="27" t="s">
        <v>28</v>
      </c>
      <c r="S56" s="27" t="s">
        <v>370</v>
      </c>
    </row>
    <row r="57" spans="1:19" ht="18" customHeight="1">
      <c r="A57" s="27" t="s">
        <v>371</v>
      </c>
      <c r="B57" s="12" t="s">
        <v>364</v>
      </c>
      <c r="C57" s="12" t="s">
        <v>372</v>
      </c>
      <c r="D57" s="10" t="s">
        <v>45</v>
      </c>
      <c r="E57" s="12" t="s">
        <v>373</v>
      </c>
      <c r="F57" s="12" t="s">
        <v>374</v>
      </c>
      <c r="G57" s="12" t="s">
        <v>375</v>
      </c>
      <c r="H57" s="12" t="s">
        <v>375</v>
      </c>
      <c r="I57" s="12" t="s">
        <v>376</v>
      </c>
      <c r="J57" s="28">
        <v>12</v>
      </c>
      <c r="K57" s="29">
        <f t="shared" si="0"/>
        <v>0.6</v>
      </c>
      <c r="L57" s="29">
        <v>20</v>
      </c>
      <c r="M57" s="29">
        <v>3.5</v>
      </c>
      <c r="N57" s="30">
        <f t="shared" si="1"/>
        <v>3.4285714285714284</v>
      </c>
      <c r="O57" s="31">
        <v>94.56</v>
      </c>
      <c r="P57" s="32">
        <f t="shared" si="2"/>
        <v>324.20571428571429</v>
      </c>
      <c r="Q57" s="12" t="s">
        <v>27</v>
      </c>
      <c r="R57" s="27" t="s">
        <v>28</v>
      </c>
      <c r="S57" s="27" t="s">
        <v>370</v>
      </c>
    </row>
    <row r="58" spans="1:19" ht="18" customHeight="1">
      <c r="A58" s="27" t="s">
        <v>377</v>
      </c>
      <c r="B58" s="12" t="s">
        <v>364</v>
      </c>
      <c r="C58" s="12" t="s">
        <v>378</v>
      </c>
      <c r="D58" s="10" t="s">
        <v>45</v>
      </c>
      <c r="E58" s="12" t="s">
        <v>379</v>
      </c>
      <c r="F58" s="12" t="s">
        <v>380</v>
      </c>
      <c r="G58" s="12" t="s">
        <v>381</v>
      </c>
      <c r="H58" s="12" t="s">
        <v>381</v>
      </c>
      <c r="I58" s="12" t="s">
        <v>382</v>
      </c>
      <c r="J58" s="28">
        <v>25</v>
      </c>
      <c r="K58" s="29">
        <f t="shared" si="0"/>
        <v>1.25</v>
      </c>
      <c r="L58" s="29">
        <v>20</v>
      </c>
      <c r="M58" s="29">
        <v>3.5</v>
      </c>
      <c r="N58" s="30">
        <f t="shared" si="1"/>
        <v>7.1428571428571432</v>
      </c>
      <c r="O58" s="31">
        <v>94.56</v>
      </c>
      <c r="P58" s="32">
        <f t="shared" si="2"/>
        <v>675.42857142857144</v>
      </c>
      <c r="Q58" s="12" t="s">
        <v>27</v>
      </c>
      <c r="R58" s="27" t="s">
        <v>28</v>
      </c>
      <c r="S58" s="27" t="s">
        <v>370</v>
      </c>
    </row>
    <row r="59" spans="1:19" ht="18" customHeight="1">
      <c r="A59" s="27" t="s">
        <v>383</v>
      </c>
      <c r="B59" s="12" t="s">
        <v>364</v>
      </c>
      <c r="C59" s="12" t="s">
        <v>384</v>
      </c>
      <c r="D59" s="12" t="s">
        <v>67</v>
      </c>
      <c r="E59" s="12" t="s">
        <v>385</v>
      </c>
      <c r="F59" s="12" t="s">
        <v>386</v>
      </c>
      <c r="G59" s="12" t="s">
        <v>387</v>
      </c>
      <c r="H59" s="12" t="s">
        <v>385</v>
      </c>
      <c r="I59" s="12" t="s">
        <v>388</v>
      </c>
      <c r="J59" s="28">
        <v>35</v>
      </c>
      <c r="K59" s="29">
        <f t="shared" si="0"/>
        <v>0.875</v>
      </c>
      <c r="L59" s="29">
        <v>40</v>
      </c>
      <c r="M59" s="29">
        <v>3.5</v>
      </c>
      <c r="N59" s="30">
        <f t="shared" si="1"/>
        <v>10</v>
      </c>
      <c r="O59" s="31">
        <v>94.56</v>
      </c>
      <c r="P59" s="32">
        <f t="shared" si="2"/>
        <v>945.6</v>
      </c>
      <c r="Q59" s="12" t="s">
        <v>64</v>
      </c>
      <c r="R59" s="27" t="s">
        <v>28</v>
      </c>
      <c r="S59" s="27" t="s">
        <v>72</v>
      </c>
    </row>
    <row r="60" spans="1:19" ht="18" customHeight="1">
      <c r="A60" s="27" t="s">
        <v>389</v>
      </c>
      <c r="B60" s="12" t="s">
        <v>364</v>
      </c>
      <c r="C60" s="12" t="s">
        <v>390</v>
      </c>
      <c r="D60" s="12" t="s">
        <v>67</v>
      </c>
      <c r="E60" s="12" t="s">
        <v>391</v>
      </c>
      <c r="F60" s="12" t="s">
        <v>392</v>
      </c>
      <c r="G60" s="12" t="s">
        <v>393</v>
      </c>
      <c r="H60" s="12" t="s">
        <v>392</v>
      </c>
      <c r="I60" s="12" t="s">
        <v>394</v>
      </c>
      <c r="J60" s="28">
        <v>20</v>
      </c>
      <c r="K60" s="29">
        <f t="shared" si="0"/>
        <v>0.5</v>
      </c>
      <c r="L60" s="29">
        <v>40</v>
      </c>
      <c r="M60" s="29">
        <v>3.5</v>
      </c>
      <c r="N60" s="30">
        <f t="shared" si="1"/>
        <v>5.7142857142857144</v>
      </c>
      <c r="O60" s="31">
        <v>94.56</v>
      </c>
      <c r="P60" s="32">
        <f t="shared" si="2"/>
        <v>540.34285714285716</v>
      </c>
      <c r="Q60" s="12" t="s">
        <v>27</v>
      </c>
      <c r="R60" s="27" t="s">
        <v>28</v>
      </c>
      <c r="S60" s="27" t="s">
        <v>72</v>
      </c>
    </row>
    <row r="61" spans="1:19" ht="18" customHeight="1">
      <c r="A61" s="27" t="s">
        <v>395</v>
      </c>
      <c r="B61" s="12" t="s">
        <v>364</v>
      </c>
      <c r="C61" s="12" t="s">
        <v>396</v>
      </c>
      <c r="D61" s="12" t="s">
        <v>67</v>
      </c>
      <c r="E61" s="12" t="s">
        <v>397</v>
      </c>
      <c r="F61" s="12" t="s">
        <v>398</v>
      </c>
      <c r="G61" s="12" t="s">
        <v>399</v>
      </c>
      <c r="H61" s="12" t="s">
        <v>398</v>
      </c>
      <c r="I61" s="12" t="s">
        <v>400</v>
      </c>
      <c r="J61" s="28">
        <v>40</v>
      </c>
      <c r="K61" s="29">
        <f t="shared" si="0"/>
        <v>1</v>
      </c>
      <c r="L61" s="29">
        <v>40</v>
      </c>
      <c r="M61" s="29">
        <v>3.5</v>
      </c>
      <c r="N61" s="30">
        <f t="shared" si="1"/>
        <v>11.428571428571429</v>
      </c>
      <c r="O61" s="31">
        <v>94.56</v>
      </c>
      <c r="P61" s="32">
        <f t="shared" si="2"/>
        <v>1080.6857142857143</v>
      </c>
      <c r="Q61" s="12" t="s">
        <v>27</v>
      </c>
      <c r="R61" s="27" t="s">
        <v>28</v>
      </c>
      <c r="S61" s="27" t="s">
        <v>72</v>
      </c>
    </row>
    <row r="62" spans="1:19" ht="18" customHeight="1">
      <c r="A62" s="27" t="s">
        <v>401</v>
      </c>
      <c r="B62" s="12" t="s">
        <v>364</v>
      </c>
      <c r="C62" s="12" t="s">
        <v>402</v>
      </c>
      <c r="D62" s="13" t="s">
        <v>81</v>
      </c>
      <c r="E62" s="12" t="s">
        <v>403</v>
      </c>
      <c r="F62" s="12" t="s">
        <v>404</v>
      </c>
      <c r="G62" s="12" t="s">
        <v>405</v>
      </c>
      <c r="H62" s="12" t="s">
        <v>405</v>
      </c>
      <c r="I62" s="12" t="s">
        <v>394</v>
      </c>
      <c r="J62" s="28">
        <v>80</v>
      </c>
      <c r="K62" s="29">
        <f t="shared" si="0"/>
        <v>1.6</v>
      </c>
      <c r="L62" s="29">
        <v>50</v>
      </c>
      <c r="M62" s="29">
        <v>4.5</v>
      </c>
      <c r="N62" s="30">
        <f t="shared" si="1"/>
        <v>17.777777777777779</v>
      </c>
      <c r="O62" s="31">
        <v>94.56</v>
      </c>
      <c r="P62" s="32">
        <f t="shared" si="2"/>
        <v>1681.0666666666668</v>
      </c>
      <c r="Q62" s="12" t="s">
        <v>27</v>
      </c>
      <c r="R62" s="27" t="s">
        <v>85</v>
      </c>
      <c r="S62" s="27" t="s">
        <v>86</v>
      </c>
    </row>
    <row r="63" spans="1:19" ht="18" customHeight="1">
      <c r="A63" s="27" t="s">
        <v>406</v>
      </c>
      <c r="B63" s="12" t="s">
        <v>364</v>
      </c>
      <c r="C63" s="12" t="s">
        <v>407</v>
      </c>
      <c r="D63" s="13" t="s">
        <v>81</v>
      </c>
      <c r="E63" s="12" t="s">
        <v>381</v>
      </c>
      <c r="F63" s="12" t="s">
        <v>408</v>
      </c>
      <c r="G63" s="12" t="s">
        <v>409</v>
      </c>
      <c r="H63" s="12" t="s">
        <v>410</v>
      </c>
      <c r="I63" s="12" t="s">
        <v>411</v>
      </c>
      <c r="J63" s="28">
        <v>215</v>
      </c>
      <c r="K63" s="29">
        <f t="shared" si="0"/>
        <v>4.3</v>
      </c>
      <c r="L63" s="29">
        <v>50</v>
      </c>
      <c r="M63" s="29">
        <v>4.5</v>
      </c>
      <c r="N63" s="30">
        <f t="shared" si="1"/>
        <v>47.777777777777779</v>
      </c>
      <c r="O63" s="31">
        <v>94.56</v>
      </c>
      <c r="P63" s="32">
        <f t="shared" si="2"/>
        <v>4517.8666666666668</v>
      </c>
      <c r="Q63" s="12" t="s">
        <v>37</v>
      </c>
      <c r="R63" s="27" t="s">
        <v>85</v>
      </c>
      <c r="S63" s="27" t="s">
        <v>86</v>
      </c>
    </row>
    <row r="64" spans="1:19" ht="18" customHeight="1">
      <c r="A64" s="27" t="s">
        <v>412</v>
      </c>
      <c r="B64" s="12" t="s">
        <v>364</v>
      </c>
      <c r="C64" s="12" t="s">
        <v>413</v>
      </c>
      <c r="D64" s="13" t="s">
        <v>81</v>
      </c>
      <c r="E64" s="12" t="s">
        <v>375</v>
      </c>
      <c r="F64" s="12" t="s">
        <v>414</v>
      </c>
      <c r="G64" s="12" t="s">
        <v>415</v>
      </c>
      <c r="H64" s="12" t="s">
        <v>416</v>
      </c>
      <c r="I64" s="12" t="s">
        <v>394</v>
      </c>
      <c r="J64" s="28">
        <v>155</v>
      </c>
      <c r="K64" s="29">
        <f t="shared" si="0"/>
        <v>3.1</v>
      </c>
      <c r="L64" s="29">
        <v>50</v>
      </c>
      <c r="M64" s="29">
        <v>4.5</v>
      </c>
      <c r="N64" s="30">
        <f t="shared" si="1"/>
        <v>34.444444444444443</v>
      </c>
      <c r="O64" s="31">
        <v>94.56</v>
      </c>
      <c r="P64" s="32">
        <f t="shared" si="2"/>
        <v>3257.0666666666666</v>
      </c>
      <c r="Q64" s="12" t="s">
        <v>27</v>
      </c>
      <c r="R64" s="27" t="s">
        <v>85</v>
      </c>
      <c r="S64" s="27" t="s">
        <v>86</v>
      </c>
    </row>
    <row r="65" spans="1:19" ht="18" customHeight="1">
      <c r="A65" s="27" t="s">
        <v>417</v>
      </c>
      <c r="B65" s="12" t="s">
        <v>364</v>
      </c>
      <c r="C65" s="12" t="s">
        <v>418</v>
      </c>
      <c r="D65" s="13" t="s">
        <v>81</v>
      </c>
      <c r="E65" s="12" t="s">
        <v>381</v>
      </c>
      <c r="F65" s="12" t="s">
        <v>419</v>
      </c>
      <c r="G65" s="12" t="s">
        <v>420</v>
      </c>
      <c r="H65" s="12" t="s">
        <v>421</v>
      </c>
      <c r="I65" s="12" t="s">
        <v>400</v>
      </c>
      <c r="J65" s="28">
        <v>185</v>
      </c>
      <c r="K65" s="29">
        <f t="shared" si="0"/>
        <v>3.7</v>
      </c>
      <c r="L65" s="29">
        <v>50</v>
      </c>
      <c r="M65" s="29">
        <v>4.5</v>
      </c>
      <c r="N65" s="30">
        <f t="shared" si="1"/>
        <v>41.111111111111114</v>
      </c>
      <c r="O65" s="31">
        <v>94.56</v>
      </c>
      <c r="P65" s="32">
        <f t="shared" si="2"/>
        <v>3887.4666666666672</v>
      </c>
      <c r="Q65" s="12" t="s">
        <v>37</v>
      </c>
      <c r="R65" s="27" t="s">
        <v>85</v>
      </c>
      <c r="S65" s="27" t="s">
        <v>86</v>
      </c>
    </row>
    <row r="66" spans="1:19" ht="18" customHeight="1">
      <c r="A66" s="27" t="s">
        <v>422</v>
      </c>
      <c r="B66" s="12" t="s">
        <v>364</v>
      </c>
      <c r="C66" s="12" t="s">
        <v>423</v>
      </c>
      <c r="D66" s="13" t="s">
        <v>81</v>
      </c>
      <c r="E66" s="12" t="s">
        <v>381</v>
      </c>
      <c r="F66" s="12" t="s">
        <v>424</v>
      </c>
      <c r="G66" s="12" t="s">
        <v>425</v>
      </c>
      <c r="H66" s="12" t="s">
        <v>426</v>
      </c>
      <c r="I66" s="12" t="s">
        <v>394</v>
      </c>
      <c r="J66" s="28">
        <v>520</v>
      </c>
      <c r="K66" s="29">
        <f t="shared" ref="K66:K129" si="3">J66/L66</f>
        <v>10.4</v>
      </c>
      <c r="L66" s="29">
        <v>50</v>
      </c>
      <c r="M66" s="29">
        <v>4.5</v>
      </c>
      <c r="N66" s="30">
        <f t="shared" ref="N66:N129" si="4">J66/M66</f>
        <v>115.55555555555556</v>
      </c>
      <c r="O66" s="31">
        <v>94.56</v>
      </c>
      <c r="P66" s="32">
        <f t="shared" ref="P66:P129" si="5">N66*O66</f>
        <v>10926.933333333334</v>
      </c>
      <c r="Q66" s="12" t="s">
        <v>27</v>
      </c>
      <c r="R66" s="27" t="s">
        <v>85</v>
      </c>
      <c r="S66" s="27" t="s">
        <v>86</v>
      </c>
    </row>
    <row r="67" spans="1:19" ht="18" customHeight="1">
      <c r="A67" s="27" t="s">
        <v>427</v>
      </c>
      <c r="B67" s="12" t="s">
        <v>364</v>
      </c>
      <c r="C67" s="12" t="s">
        <v>428</v>
      </c>
      <c r="D67" s="13" t="s">
        <v>81</v>
      </c>
      <c r="E67" s="12" t="s">
        <v>429</v>
      </c>
      <c r="F67" s="12" t="s">
        <v>430</v>
      </c>
      <c r="G67" s="12" t="s">
        <v>431</v>
      </c>
      <c r="H67" s="12" t="s">
        <v>432</v>
      </c>
      <c r="I67" s="12" t="s">
        <v>433</v>
      </c>
      <c r="J67" s="28">
        <v>280</v>
      </c>
      <c r="K67" s="29">
        <f t="shared" si="3"/>
        <v>5.6</v>
      </c>
      <c r="L67" s="29">
        <v>50</v>
      </c>
      <c r="M67" s="29">
        <v>4.5</v>
      </c>
      <c r="N67" s="30">
        <f t="shared" si="4"/>
        <v>62.222222222222221</v>
      </c>
      <c r="O67" s="31">
        <v>94.56</v>
      </c>
      <c r="P67" s="32">
        <f t="shared" si="5"/>
        <v>5883.7333333333336</v>
      </c>
      <c r="Q67" s="12" t="s">
        <v>27</v>
      </c>
      <c r="R67" s="27" t="s">
        <v>85</v>
      </c>
      <c r="S67" s="27" t="s">
        <v>86</v>
      </c>
    </row>
    <row r="68" spans="1:19" ht="18" customHeight="1">
      <c r="A68" s="27" t="s">
        <v>434</v>
      </c>
      <c r="B68" s="12" t="s">
        <v>364</v>
      </c>
      <c r="C68" s="12" t="s">
        <v>435</v>
      </c>
      <c r="D68" s="13" t="s">
        <v>81</v>
      </c>
      <c r="E68" s="12" t="s">
        <v>375</v>
      </c>
      <c r="F68" s="12" t="s">
        <v>436</v>
      </c>
      <c r="G68" s="12" t="s">
        <v>437</v>
      </c>
      <c r="H68" s="12" t="s">
        <v>437</v>
      </c>
      <c r="I68" s="12" t="s">
        <v>438</v>
      </c>
      <c r="J68" s="28">
        <v>340</v>
      </c>
      <c r="K68" s="29">
        <f t="shared" si="3"/>
        <v>6.8</v>
      </c>
      <c r="L68" s="29">
        <v>50</v>
      </c>
      <c r="M68" s="29">
        <v>4.5</v>
      </c>
      <c r="N68" s="30">
        <f t="shared" si="4"/>
        <v>75.555555555555557</v>
      </c>
      <c r="O68" s="31">
        <v>94.56</v>
      </c>
      <c r="P68" s="32">
        <f t="shared" si="5"/>
        <v>7144.5333333333338</v>
      </c>
      <c r="Q68" s="12" t="s">
        <v>27</v>
      </c>
      <c r="R68" s="27" t="s">
        <v>85</v>
      </c>
      <c r="S68" s="27" t="s">
        <v>86</v>
      </c>
    </row>
    <row r="69" spans="1:19" ht="18" customHeight="1">
      <c r="A69" s="27" t="s">
        <v>439</v>
      </c>
      <c r="B69" s="12" t="s">
        <v>364</v>
      </c>
      <c r="C69" s="12" t="s">
        <v>440</v>
      </c>
      <c r="D69" s="13" t="s">
        <v>81</v>
      </c>
      <c r="E69" s="12" t="s">
        <v>381</v>
      </c>
      <c r="F69" s="12" t="s">
        <v>441</v>
      </c>
      <c r="G69" s="12" t="s">
        <v>442</v>
      </c>
      <c r="H69" s="12" t="s">
        <v>442</v>
      </c>
      <c r="I69" s="12" t="s">
        <v>400</v>
      </c>
      <c r="J69" s="28">
        <v>115</v>
      </c>
      <c r="K69" s="29">
        <f t="shared" si="3"/>
        <v>2.2999999999999998</v>
      </c>
      <c r="L69" s="29">
        <v>50</v>
      </c>
      <c r="M69" s="29">
        <v>4.5</v>
      </c>
      <c r="N69" s="30">
        <f t="shared" si="4"/>
        <v>25.555555555555557</v>
      </c>
      <c r="O69" s="31">
        <v>94.56</v>
      </c>
      <c r="P69" s="32">
        <f t="shared" si="5"/>
        <v>2416.5333333333338</v>
      </c>
      <c r="Q69" s="12" t="s">
        <v>37</v>
      </c>
      <c r="R69" s="27" t="s">
        <v>85</v>
      </c>
      <c r="S69" s="27" t="s">
        <v>86</v>
      </c>
    </row>
    <row r="70" spans="1:19" ht="18" customHeight="1">
      <c r="A70" s="27" t="s">
        <v>443</v>
      </c>
      <c r="B70" s="12" t="s">
        <v>364</v>
      </c>
      <c r="C70" s="12" t="s">
        <v>444</v>
      </c>
      <c r="D70" s="4" t="s">
        <v>22</v>
      </c>
      <c r="E70" s="12" t="s">
        <v>381</v>
      </c>
      <c r="F70" s="12" t="s">
        <v>445</v>
      </c>
      <c r="G70" s="12" t="s">
        <v>446</v>
      </c>
      <c r="H70" s="12" t="s">
        <v>442</v>
      </c>
      <c r="I70" s="12" t="s">
        <v>400</v>
      </c>
      <c r="J70" s="28">
        <v>120</v>
      </c>
      <c r="K70" s="29">
        <f t="shared" si="3"/>
        <v>2.6666666666666665</v>
      </c>
      <c r="L70" s="29">
        <v>45</v>
      </c>
      <c r="M70" s="29">
        <v>4</v>
      </c>
      <c r="N70" s="30">
        <f t="shared" si="4"/>
        <v>30</v>
      </c>
      <c r="O70" s="31">
        <v>94.56</v>
      </c>
      <c r="P70" s="32">
        <f t="shared" si="5"/>
        <v>2836.8</v>
      </c>
      <c r="Q70" s="12" t="s">
        <v>37</v>
      </c>
      <c r="R70" s="27" t="s">
        <v>28</v>
      </c>
      <c r="S70" s="27" t="s">
        <v>125</v>
      </c>
    </row>
    <row r="71" spans="1:19" ht="18" customHeight="1">
      <c r="A71" s="27" t="s">
        <v>447</v>
      </c>
      <c r="B71" s="12" t="s">
        <v>364</v>
      </c>
      <c r="C71" s="12" t="s">
        <v>448</v>
      </c>
      <c r="D71" s="4" t="s">
        <v>22</v>
      </c>
      <c r="E71" s="12" t="s">
        <v>449</v>
      </c>
      <c r="F71" s="12" t="s">
        <v>450</v>
      </c>
      <c r="G71" s="12" t="s">
        <v>451</v>
      </c>
      <c r="H71" s="12" t="s">
        <v>451</v>
      </c>
      <c r="I71" s="12" t="s">
        <v>433</v>
      </c>
      <c r="J71" s="28">
        <v>55</v>
      </c>
      <c r="K71" s="29">
        <f t="shared" si="3"/>
        <v>1.2222222222222223</v>
      </c>
      <c r="L71" s="29">
        <v>45</v>
      </c>
      <c r="M71" s="29">
        <v>4</v>
      </c>
      <c r="N71" s="30">
        <f t="shared" si="4"/>
        <v>13.75</v>
      </c>
      <c r="O71" s="31">
        <v>94.56</v>
      </c>
      <c r="P71" s="32">
        <f t="shared" si="5"/>
        <v>1300.2</v>
      </c>
      <c r="Q71" s="12" t="s">
        <v>27</v>
      </c>
      <c r="R71" s="27" t="s">
        <v>28</v>
      </c>
      <c r="S71" s="27" t="s">
        <v>125</v>
      </c>
    </row>
    <row r="72" spans="1:19" ht="18" customHeight="1">
      <c r="A72" s="27" t="s">
        <v>452</v>
      </c>
      <c r="B72" s="12" t="s">
        <v>364</v>
      </c>
      <c r="C72" s="12" t="s">
        <v>453</v>
      </c>
      <c r="D72" s="11" t="s">
        <v>59</v>
      </c>
      <c r="E72" s="12" t="s">
        <v>454</v>
      </c>
      <c r="F72" s="12" t="s">
        <v>455</v>
      </c>
      <c r="G72" s="12" t="s">
        <v>456</v>
      </c>
      <c r="H72" s="12" t="s">
        <v>457</v>
      </c>
      <c r="I72" s="12" t="s">
        <v>394</v>
      </c>
      <c r="J72" s="28">
        <v>65</v>
      </c>
      <c r="K72" s="29">
        <f t="shared" si="3"/>
        <v>2.6</v>
      </c>
      <c r="L72" s="29">
        <v>25</v>
      </c>
      <c r="M72" s="29">
        <v>3</v>
      </c>
      <c r="N72" s="30">
        <f t="shared" si="4"/>
        <v>21.666666666666668</v>
      </c>
      <c r="O72" s="31">
        <v>94.56</v>
      </c>
      <c r="P72" s="32">
        <f t="shared" si="5"/>
        <v>2048.8000000000002</v>
      </c>
      <c r="Q72" s="12" t="s">
        <v>64</v>
      </c>
      <c r="R72" s="27" t="s">
        <v>28</v>
      </c>
      <c r="S72" s="27" t="s">
        <v>138</v>
      </c>
    </row>
    <row r="73" spans="1:19" ht="18" customHeight="1">
      <c r="A73" s="27" t="s">
        <v>458</v>
      </c>
      <c r="B73" s="12" t="s">
        <v>364</v>
      </c>
      <c r="C73" s="12" t="s">
        <v>459</v>
      </c>
      <c r="D73" s="11" t="s">
        <v>59</v>
      </c>
      <c r="E73" s="12" t="s">
        <v>460</v>
      </c>
      <c r="F73" s="12" t="s">
        <v>461</v>
      </c>
      <c r="G73" s="12" t="s">
        <v>462</v>
      </c>
      <c r="H73" s="12" t="s">
        <v>462</v>
      </c>
      <c r="I73" s="12" t="s">
        <v>463</v>
      </c>
      <c r="J73" s="28">
        <v>70</v>
      </c>
      <c r="K73" s="29">
        <f t="shared" si="3"/>
        <v>2.8</v>
      </c>
      <c r="L73" s="29">
        <v>25</v>
      </c>
      <c r="M73" s="29">
        <v>3</v>
      </c>
      <c r="N73" s="30">
        <f t="shared" si="4"/>
        <v>23.333333333333332</v>
      </c>
      <c r="O73" s="31">
        <v>94.56</v>
      </c>
      <c r="P73" s="32">
        <f t="shared" si="5"/>
        <v>2206.4</v>
      </c>
      <c r="Q73" s="12" t="s">
        <v>64</v>
      </c>
      <c r="R73" s="27" t="s">
        <v>28</v>
      </c>
      <c r="S73" s="27" t="s">
        <v>138</v>
      </c>
    </row>
    <row r="74" spans="1:19" ht="18" customHeight="1">
      <c r="A74" s="27" t="s">
        <v>464</v>
      </c>
      <c r="B74" s="12" t="s">
        <v>364</v>
      </c>
      <c r="C74" s="12" t="s">
        <v>465</v>
      </c>
      <c r="D74" s="11" t="s">
        <v>59</v>
      </c>
      <c r="E74" s="12" t="s">
        <v>424</v>
      </c>
      <c r="F74" s="12" t="s">
        <v>385</v>
      </c>
      <c r="G74" s="12" t="s">
        <v>466</v>
      </c>
      <c r="H74" s="12" t="s">
        <v>466</v>
      </c>
      <c r="I74" s="12" t="s">
        <v>467</v>
      </c>
      <c r="J74" s="28">
        <v>50</v>
      </c>
      <c r="K74" s="29">
        <f t="shared" si="3"/>
        <v>2</v>
      </c>
      <c r="L74" s="29">
        <v>25</v>
      </c>
      <c r="M74" s="29">
        <v>3</v>
      </c>
      <c r="N74" s="30">
        <f t="shared" si="4"/>
        <v>16.666666666666668</v>
      </c>
      <c r="O74" s="31">
        <v>94.56</v>
      </c>
      <c r="P74" s="32">
        <f t="shared" si="5"/>
        <v>1576.0000000000002</v>
      </c>
      <c r="Q74" s="12" t="s">
        <v>64</v>
      </c>
      <c r="R74" s="27" t="s">
        <v>28</v>
      </c>
      <c r="S74" s="27" t="s">
        <v>138</v>
      </c>
    </row>
    <row r="75" spans="1:19" ht="18" customHeight="1">
      <c r="A75" s="33" t="s">
        <v>468</v>
      </c>
      <c r="B75" s="34" t="s">
        <v>469</v>
      </c>
      <c r="C75" s="34" t="s">
        <v>470</v>
      </c>
      <c r="D75" s="10" t="s">
        <v>45</v>
      </c>
      <c r="E75" s="34" t="s">
        <v>471</v>
      </c>
      <c r="F75" s="34" t="s">
        <v>472</v>
      </c>
      <c r="G75" s="34" t="s">
        <v>473</v>
      </c>
      <c r="H75" s="34" t="s">
        <v>473</v>
      </c>
      <c r="I75" s="34" t="s">
        <v>474</v>
      </c>
      <c r="J75" s="35">
        <v>12</v>
      </c>
      <c r="K75" s="36">
        <f t="shared" si="3"/>
        <v>0.6</v>
      </c>
      <c r="L75" s="36">
        <v>20</v>
      </c>
      <c r="M75" s="36">
        <v>3.5</v>
      </c>
      <c r="N75" s="37">
        <f t="shared" si="4"/>
        <v>3.4285714285714284</v>
      </c>
      <c r="O75" s="38">
        <v>94.56</v>
      </c>
      <c r="P75" s="39">
        <f t="shared" si="5"/>
        <v>324.20571428571429</v>
      </c>
      <c r="Q75" s="34" t="s">
        <v>27</v>
      </c>
      <c r="R75" s="33" t="s">
        <v>28</v>
      </c>
      <c r="S75" s="33" t="s">
        <v>475</v>
      </c>
    </row>
    <row r="76" spans="1:19" ht="18" customHeight="1">
      <c r="A76" s="33" t="s">
        <v>476</v>
      </c>
      <c r="B76" s="34" t="s">
        <v>469</v>
      </c>
      <c r="C76" s="34" t="s">
        <v>477</v>
      </c>
      <c r="D76" s="10" t="s">
        <v>45</v>
      </c>
      <c r="E76" s="34" t="s">
        <v>478</v>
      </c>
      <c r="F76" s="34" t="s">
        <v>479</v>
      </c>
      <c r="G76" s="34" t="s">
        <v>480</v>
      </c>
      <c r="H76" s="34" t="s">
        <v>480</v>
      </c>
      <c r="I76" s="34" t="s">
        <v>481</v>
      </c>
      <c r="J76" s="35">
        <v>25</v>
      </c>
      <c r="K76" s="36">
        <f t="shared" si="3"/>
        <v>1.25</v>
      </c>
      <c r="L76" s="36">
        <v>20</v>
      </c>
      <c r="M76" s="36">
        <v>3.5</v>
      </c>
      <c r="N76" s="37">
        <f t="shared" si="4"/>
        <v>7.1428571428571432</v>
      </c>
      <c r="O76" s="38">
        <v>94.56</v>
      </c>
      <c r="P76" s="39">
        <f t="shared" si="5"/>
        <v>675.42857142857144</v>
      </c>
      <c r="Q76" s="34" t="s">
        <v>37</v>
      </c>
      <c r="R76" s="33" t="s">
        <v>28</v>
      </c>
      <c r="S76" s="33" t="s">
        <v>475</v>
      </c>
    </row>
    <row r="77" spans="1:19" ht="18" customHeight="1">
      <c r="A77" s="33" t="s">
        <v>482</v>
      </c>
      <c r="B77" s="34" t="s">
        <v>469</v>
      </c>
      <c r="C77" s="34" t="s">
        <v>483</v>
      </c>
      <c r="D77" s="12" t="s">
        <v>67</v>
      </c>
      <c r="E77" s="34" t="s">
        <v>484</v>
      </c>
      <c r="F77" s="34" t="s">
        <v>485</v>
      </c>
      <c r="G77" s="34" t="s">
        <v>486</v>
      </c>
      <c r="H77" s="34" t="s">
        <v>486</v>
      </c>
      <c r="I77" s="34" t="s">
        <v>487</v>
      </c>
      <c r="J77" s="35">
        <v>45</v>
      </c>
      <c r="K77" s="36">
        <f t="shared" si="3"/>
        <v>1.125</v>
      </c>
      <c r="L77" s="36">
        <v>40</v>
      </c>
      <c r="M77" s="36">
        <v>3.5</v>
      </c>
      <c r="N77" s="37">
        <f t="shared" si="4"/>
        <v>12.857142857142858</v>
      </c>
      <c r="O77" s="38">
        <v>94.56</v>
      </c>
      <c r="P77" s="39">
        <f t="shared" si="5"/>
        <v>1215.7714285714287</v>
      </c>
      <c r="Q77" s="34" t="s">
        <v>27</v>
      </c>
      <c r="R77" s="33" t="s">
        <v>28</v>
      </c>
      <c r="S77" s="33" t="s">
        <v>72</v>
      </c>
    </row>
    <row r="78" spans="1:19" ht="18" customHeight="1">
      <c r="A78" s="33" t="s">
        <v>488</v>
      </c>
      <c r="B78" s="34" t="s">
        <v>469</v>
      </c>
      <c r="C78" s="34" t="s">
        <v>489</v>
      </c>
      <c r="D78" s="12" t="s">
        <v>67</v>
      </c>
      <c r="E78" s="34" t="s">
        <v>490</v>
      </c>
      <c r="F78" s="34" t="s">
        <v>491</v>
      </c>
      <c r="G78" s="34" t="s">
        <v>492</v>
      </c>
      <c r="H78" s="34" t="s">
        <v>490</v>
      </c>
      <c r="I78" s="34" t="s">
        <v>493</v>
      </c>
      <c r="J78" s="35">
        <v>40</v>
      </c>
      <c r="K78" s="36">
        <f t="shared" si="3"/>
        <v>1</v>
      </c>
      <c r="L78" s="36">
        <v>40</v>
      </c>
      <c r="M78" s="36">
        <v>3.5</v>
      </c>
      <c r="N78" s="37">
        <f t="shared" si="4"/>
        <v>11.428571428571429</v>
      </c>
      <c r="O78" s="38">
        <v>94.56</v>
      </c>
      <c r="P78" s="39">
        <f t="shared" si="5"/>
        <v>1080.6857142857143</v>
      </c>
      <c r="Q78" s="34" t="s">
        <v>27</v>
      </c>
      <c r="R78" s="33" t="s">
        <v>28</v>
      </c>
      <c r="S78" s="33" t="s">
        <v>72</v>
      </c>
    </row>
    <row r="79" spans="1:19" ht="18" customHeight="1">
      <c r="A79" s="33" t="s">
        <v>494</v>
      </c>
      <c r="B79" s="34" t="s">
        <v>469</v>
      </c>
      <c r="C79" s="34" t="s">
        <v>495</v>
      </c>
      <c r="D79" s="13" t="s">
        <v>81</v>
      </c>
      <c r="E79" s="34" t="s">
        <v>480</v>
      </c>
      <c r="F79" s="34" t="s">
        <v>92</v>
      </c>
      <c r="G79" s="34" t="s">
        <v>496</v>
      </c>
      <c r="H79" s="34" t="s">
        <v>497</v>
      </c>
      <c r="I79" s="34" t="s">
        <v>498</v>
      </c>
      <c r="J79" s="35">
        <v>300</v>
      </c>
      <c r="K79" s="36">
        <f t="shared" si="3"/>
        <v>6</v>
      </c>
      <c r="L79" s="36">
        <v>50</v>
      </c>
      <c r="M79" s="36">
        <v>4.5</v>
      </c>
      <c r="N79" s="37">
        <f t="shared" si="4"/>
        <v>66.666666666666671</v>
      </c>
      <c r="O79" s="38">
        <v>94.56</v>
      </c>
      <c r="P79" s="39">
        <f t="shared" si="5"/>
        <v>6304.0000000000009</v>
      </c>
      <c r="Q79" s="34" t="s">
        <v>27</v>
      </c>
      <c r="R79" s="33" t="s">
        <v>85</v>
      </c>
      <c r="S79" s="33" t="s">
        <v>86</v>
      </c>
    </row>
    <row r="80" spans="1:19" ht="18" customHeight="1">
      <c r="A80" s="33" t="s">
        <v>499</v>
      </c>
      <c r="B80" s="34" t="s">
        <v>469</v>
      </c>
      <c r="C80" s="34" t="s">
        <v>500</v>
      </c>
      <c r="D80" s="13" t="s">
        <v>81</v>
      </c>
      <c r="E80" s="34" t="s">
        <v>92</v>
      </c>
      <c r="F80" s="34" t="s">
        <v>501</v>
      </c>
      <c r="G80" s="34" t="s">
        <v>502</v>
      </c>
      <c r="H80" s="34" t="s">
        <v>503</v>
      </c>
      <c r="I80" s="34" t="s">
        <v>504</v>
      </c>
      <c r="J80" s="35">
        <v>240</v>
      </c>
      <c r="K80" s="36">
        <f t="shared" si="3"/>
        <v>4.8</v>
      </c>
      <c r="L80" s="36">
        <v>50</v>
      </c>
      <c r="M80" s="36">
        <v>4.5</v>
      </c>
      <c r="N80" s="37">
        <f t="shared" si="4"/>
        <v>53.333333333333336</v>
      </c>
      <c r="O80" s="38">
        <v>94.56</v>
      </c>
      <c r="P80" s="39">
        <f t="shared" si="5"/>
        <v>5043.2000000000007</v>
      </c>
      <c r="Q80" s="34" t="s">
        <v>27</v>
      </c>
      <c r="R80" s="33" t="s">
        <v>85</v>
      </c>
      <c r="S80" s="33" t="s">
        <v>86</v>
      </c>
    </row>
    <row r="81" spans="1:19" ht="18" customHeight="1">
      <c r="A81" s="33" t="s">
        <v>505</v>
      </c>
      <c r="B81" s="34" t="s">
        <v>469</v>
      </c>
      <c r="C81" s="34" t="s">
        <v>506</v>
      </c>
      <c r="D81" s="13" t="s">
        <v>81</v>
      </c>
      <c r="E81" s="34" t="s">
        <v>480</v>
      </c>
      <c r="F81" s="34" t="s">
        <v>92</v>
      </c>
      <c r="G81" s="34" t="s">
        <v>507</v>
      </c>
      <c r="H81" s="34" t="s">
        <v>508</v>
      </c>
      <c r="I81" s="34" t="s">
        <v>493</v>
      </c>
      <c r="J81" s="35">
        <v>320</v>
      </c>
      <c r="K81" s="36">
        <f t="shared" si="3"/>
        <v>6.4</v>
      </c>
      <c r="L81" s="36">
        <v>50</v>
      </c>
      <c r="M81" s="36">
        <v>4.5</v>
      </c>
      <c r="N81" s="37">
        <f t="shared" si="4"/>
        <v>71.111111111111114</v>
      </c>
      <c r="O81" s="38">
        <v>94.56</v>
      </c>
      <c r="P81" s="39">
        <f t="shared" si="5"/>
        <v>6724.2666666666673</v>
      </c>
      <c r="Q81" s="34" t="s">
        <v>27</v>
      </c>
      <c r="R81" s="33" t="s">
        <v>85</v>
      </c>
      <c r="S81" s="33" t="s">
        <v>86</v>
      </c>
    </row>
    <row r="82" spans="1:19" ht="18" customHeight="1">
      <c r="A82" s="33" t="s">
        <v>509</v>
      </c>
      <c r="B82" s="34" t="s">
        <v>469</v>
      </c>
      <c r="C82" s="34" t="s">
        <v>510</v>
      </c>
      <c r="D82" s="13" t="s">
        <v>81</v>
      </c>
      <c r="E82" s="34" t="s">
        <v>480</v>
      </c>
      <c r="F82" s="34" t="s">
        <v>511</v>
      </c>
      <c r="G82" s="34" t="s">
        <v>512</v>
      </c>
      <c r="H82" s="34" t="s">
        <v>512</v>
      </c>
      <c r="I82" s="34" t="s">
        <v>513</v>
      </c>
      <c r="J82" s="35">
        <v>55</v>
      </c>
      <c r="K82" s="36">
        <f t="shared" si="3"/>
        <v>1.1000000000000001</v>
      </c>
      <c r="L82" s="36">
        <v>50</v>
      </c>
      <c r="M82" s="36">
        <v>4.5</v>
      </c>
      <c r="N82" s="37">
        <f t="shared" si="4"/>
        <v>12.222222222222221</v>
      </c>
      <c r="O82" s="38">
        <v>94.56</v>
      </c>
      <c r="P82" s="39">
        <f t="shared" si="5"/>
        <v>1155.7333333333333</v>
      </c>
      <c r="Q82" s="34" t="s">
        <v>37</v>
      </c>
      <c r="R82" s="33" t="s">
        <v>85</v>
      </c>
      <c r="S82" s="33" t="s">
        <v>86</v>
      </c>
    </row>
    <row r="83" spans="1:19" ht="18" customHeight="1">
      <c r="A83" s="33" t="s">
        <v>514</v>
      </c>
      <c r="B83" s="34" t="s">
        <v>469</v>
      </c>
      <c r="C83" s="34" t="s">
        <v>515</v>
      </c>
      <c r="D83" s="13" t="s">
        <v>81</v>
      </c>
      <c r="E83" s="34" t="s">
        <v>480</v>
      </c>
      <c r="F83" s="34" t="s">
        <v>473</v>
      </c>
      <c r="G83" s="34" t="s">
        <v>516</v>
      </c>
      <c r="H83" s="34" t="s">
        <v>516</v>
      </c>
      <c r="I83" s="34" t="s">
        <v>513</v>
      </c>
      <c r="J83" s="35">
        <v>120</v>
      </c>
      <c r="K83" s="36">
        <f t="shared" si="3"/>
        <v>2.4</v>
      </c>
      <c r="L83" s="36">
        <v>50</v>
      </c>
      <c r="M83" s="36">
        <v>4.5</v>
      </c>
      <c r="N83" s="37">
        <f t="shared" si="4"/>
        <v>26.666666666666668</v>
      </c>
      <c r="O83" s="38">
        <v>94.56</v>
      </c>
      <c r="P83" s="39">
        <f t="shared" si="5"/>
        <v>2521.6000000000004</v>
      </c>
      <c r="Q83" s="34" t="s">
        <v>37</v>
      </c>
      <c r="R83" s="33" t="s">
        <v>85</v>
      </c>
      <c r="S83" s="33" t="s">
        <v>86</v>
      </c>
    </row>
    <row r="84" spans="1:19" ht="18" customHeight="1">
      <c r="A84" s="33" t="s">
        <v>517</v>
      </c>
      <c r="B84" s="34" t="s">
        <v>469</v>
      </c>
      <c r="C84" s="34" t="s">
        <v>518</v>
      </c>
      <c r="D84" s="15" t="s">
        <v>519</v>
      </c>
      <c r="E84" s="34" t="s">
        <v>480</v>
      </c>
      <c r="F84" s="34" t="s">
        <v>520</v>
      </c>
      <c r="G84" s="34" t="s">
        <v>521</v>
      </c>
      <c r="H84" s="34" t="s">
        <v>522</v>
      </c>
      <c r="I84" s="34" t="s">
        <v>523</v>
      </c>
      <c r="J84" s="35">
        <v>30</v>
      </c>
      <c r="K84" s="36">
        <f t="shared" si="3"/>
        <v>0.375</v>
      </c>
      <c r="L84" s="36">
        <v>80</v>
      </c>
      <c r="M84" s="36">
        <v>5</v>
      </c>
      <c r="N84" s="37">
        <f t="shared" si="4"/>
        <v>6</v>
      </c>
      <c r="O84" s="38">
        <v>94.56</v>
      </c>
      <c r="P84" s="39">
        <f t="shared" si="5"/>
        <v>567.36</v>
      </c>
      <c r="Q84" s="34" t="s">
        <v>37</v>
      </c>
      <c r="R84" s="33" t="s">
        <v>85</v>
      </c>
      <c r="S84" s="33" t="s">
        <v>524</v>
      </c>
    </row>
    <row r="85" spans="1:19" ht="18" customHeight="1">
      <c r="A85" s="33" t="s">
        <v>525</v>
      </c>
      <c r="B85" s="34" t="s">
        <v>469</v>
      </c>
      <c r="C85" s="34" t="s">
        <v>526</v>
      </c>
      <c r="D85" s="4" t="s">
        <v>22</v>
      </c>
      <c r="E85" s="34" t="s">
        <v>473</v>
      </c>
      <c r="F85" s="34" t="s">
        <v>527</v>
      </c>
      <c r="G85" s="34" t="s">
        <v>528</v>
      </c>
      <c r="H85" s="34" t="s">
        <v>528</v>
      </c>
      <c r="I85" s="34" t="s">
        <v>529</v>
      </c>
      <c r="J85" s="35">
        <v>75</v>
      </c>
      <c r="K85" s="36">
        <f t="shared" si="3"/>
        <v>1.6666666666666667</v>
      </c>
      <c r="L85" s="36">
        <v>45</v>
      </c>
      <c r="M85" s="36">
        <v>4</v>
      </c>
      <c r="N85" s="37">
        <f t="shared" si="4"/>
        <v>18.75</v>
      </c>
      <c r="O85" s="38">
        <v>94.56</v>
      </c>
      <c r="P85" s="39">
        <f t="shared" si="5"/>
        <v>1773</v>
      </c>
      <c r="Q85" s="34" t="s">
        <v>27</v>
      </c>
      <c r="R85" s="33" t="s">
        <v>28</v>
      </c>
      <c r="S85" s="33" t="s">
        <v>125</v>
      </c>
    </row>
    <row r="86" spans="1:19" ht="18" customHeight="1">
      <c r="A86" s="33" t="s">
        <v>530</v>
      </c>
      <c r="B86" s="34" t="s">
        <v>469</v>
      </c>
      <c r="C86" s="34" t="s">
        <v>531</v>
      </c>
      <c r="D86" s="4" t="s">
        <v>22</v>
      </c>
      <c r="E86" s="34" t="s">
        <v>473</v>
      </c>
      <c r="F86" s="34" t="s">
        <v>490</v>
      </c>
      <c r="G86" s="34" t="s">
        <v>532</v>
      </c>
      <c r="H86" s="34" t="s">
        <v>532</v>
      </c>
      <c r="I86" s="34" t="s">
        <v>533</v>
      </c>
      <c r="J86" s="35">
        <v>145</v>
      </c>
      <c r="K86" s="36">
        <f t="shared" si="3"/>
        <v>3.2222222222222223</v>
      </c>
      <c r="L86" s="36">
        <v>45</v>
      </c>
      <c r="M86" s="36">
        <v>4</v>
      </c>
      <c r="N86" s="37">
        <f t="shared" si="4"/>
        <v>36.25</v>
      </c>
      <c r="O86" s="38">
        <v>94.56</v>
      </c>
      <c r="P86" s="39">
        <f t="shared" si="5"/>
        <v>3427.8</v>
      </c>
      <c r="Q86" s="34" t="s">
        <v>27</v>
      </c>
      <c r="R86" s="33" t="s">
        <v>28</v>
      </c>
      <c r="S86" s="33" t="s">
        <v>125</v>
      </c>
    </row>
    <row r="87" spans="1:19" ht="18" customHeight="1">
      <c r="A87" s="33" t="s">
        <v>534</v>
      </c>
      <c r="B87" s="34" t="s">
        <v>469</v>
      </c>
      <c r="C87" s="34" t="s">
        <v>535</v>
      </c>
      <c r="D87" s="4" t="s">
        <v>22</v>
      </c>
      <c r="E87" s="34" t="s">
        <v>536</v>
      </c>
      <c r="F87" s="34" t="s">
        <v>537</v>
      </c>
      <c r="G87" s="34" t="s">
        <v>538</v>
      </c>
      <c r="H87" s="34" t="s">
        <v>539</v>
      </c>
      <c r="I87" s="34" t="s">
        <v>487</v>
      </c>
      <c r="J87" s="35">
        <v>70</v>
      </c>
      <c r="K87" s="36">
        <f t="shared" si="3"/>
        <v>1.5555555555555556</v>
      </c>
      <c r="L87" s="36">
        <v>45</v>
      </c>
      <c r="M87" s="36">
        <v>4</v>
      </c>
      <c r="N87" s="37">
        <f t="shared" si="4"/>
        <v>17.5</v>
      </c>
      <c r="O87" s="38">
        <v>94.56</v>
      </c>
      <c r="P87" s="39">
        <f t="shared" si="5"/>
        <v>1654.8</v>
      </c>
      <c r="Q87" s="34" t="s">
        <v>27</v>
      </c>
      <c r="R87" s="33" t="s">
        <v>28</v>
      </c>
      <c r="S87" s="33" t="s">
        <v>125</v>
      </c>
    </row>
    <row r="88" spans="1:19" ht="18" customHeight="1">
      <c r="A88" s="33" t="s">
        <v>540</v>
      </c>
      <c r="B88" s="34" t="s">
        <v>469</v>
      </c>
      <c r="C88" s="34" t="s">
        <v>541</v>
      </c>
      <c r="D88" s="4" t="s">
        <v>22</v>
      </c>
      <c r="E88" s="34" t="s">
        <v>485</v>
      </c>
      <c r="F88" s="34" t="s">
        <v>542</v>
      </c>
      <c r="G88" s="34" t="s">
        <v>543</v>
      </c>
      <c r="H88" s="34" t="s">
        <v>485</v>
      </c>
      <c r="I88" s="34" t="s">
        <v>544</v>
      </c>
      <c r="J88" s="35">
        <v>50</v>
      </c>
      <c r="K88" s="36">
        <f t="shared" si="3"/>
        <v>1.1111111111111112</v>
      </c>
      <c r="L88" s="36">
        <v>45</v>
      </c>
      <c r="M88" s="36">
        <v>4</v>
      </c>
      <c r="N88" s="37">
        <f t="shared" si="4"/>
        <v>12.5</v>
      </c>
      <c r="O88" s="38">
        <v>94.56</v>
      </c>
      <c r="P88" s="39">
        <f t="shared" si="5"/>
        <v>1182</v>
      </c>
      <c r="Q88" s="34" t="s">
        <v>27</v>
      </c>
      <c r="R88" s="33" t="s">
        <v>28</v>
      </c>
      <c r="S88" s="33" t="s">
        <v>125</v>
      </c>
    </row>
    <row r="89" spans="1:19" ht="18" customHeight="1">
      <c r="A89" s="33" t="s">
        <v>545</v>
      </c>
      <c r="B89" s="34" t="s">
        <v>469</v>
      </c>
      <c r="C89" s="34" t="s">
        <v>546</v>
      </c>
      <c r="D89" s="11" t="s">
        <v>59</v>
      </c>
      <c r="E89" s="34" t="s">
        <v>92</v>
      </c>
      <c r="F89" s="34" t="s">
        <v>547</v>
      </c>
      <c r="G89" s="34" t="s">
        <v>548</v>
      </c>
      <c r="H89" s="34" t="s">
        <v>549</v>
      </c>
      <c r="I89" s="34" t="s">
        <v>550</v>
      </c>
      <c r="J89" s="35">
        <v>90</v>
      </c>
      <c r="K89" s="36">
        <f t="shared" si="3"/>
        <v>3.6</v>
      </c>
      <c r="L89" s="36">
        <v>25</v>
      </c>
      <c r="M89" s="36">
        <v>3</v>
      </c>
      <c r="N89" s="37">
        <f t="shared" si="4"/>
        <v>30</v>
      </c>
      <c r="O89" s="38">
        <v>94.56</v>
      </c>
      <c r="P89" s="39">
        <f t="shared" si="5"/>
        <v>2836.8</v>
      </c>
      <c r="Q89" s="34" t="s">
        <v>64</v>
      </c>
      <c r="R89" s="33" t="s">
        <v>28</v>
      </c>
      <c r="S89" s="33" t="s">
        <v>138</v>
      </c>
    </row>
    <row r="90" spans="1:19" ht="18" customHeight="1">
      <c r="A90" s="33" t="s">
        <v>551</v>
      </c>
      <c r="B90" s="34" t="s">
        <v>469</v>
      </c>
      <c r="C90" s="34" t="s">
        <v>552</v>
      </c>
      <c r="D90" s="11" t="s">
        <v>59</v>
      </c>
      <c r="E90" s="34" t="s">
        <v>553</v>
      </c>
      <c r="F90" s="34" t="s">
        <v>554</v>
      </c>
      <c r="G90" s="34" t="s">
        <v>555</v>
      </c>
      <c r="H90" s="34" t="s">
        <v>553</v>
      </c>
      <c r="I90" s="34" t="s">
        <v>556</v>
      </c>
      <c r="J90" s="35">
        <v>80</v>
      </c>
      <c r="K90" s="36">
        <f t="shared" si="3"/>
        <v>3.2</v>
      </c>
      <c r="L90" s="36">
        <v>25</v>
      </c>
      <c r="M90" s="36">
        <v>3</v>
      </c>
      <c r="N90" s="37">
        <f t="shared" si="4"/>
        <v>26.666666666666668</v>
      </c>
      <c r="O90" s="38">
        <v>94.56</v>
      </c>
      <c r="P90" s="39">
        <f t="shared" si="5"/>
        <v>2521.6000000000004</v>
      </c>
      <c r="Q90" s="34" t="s">
        <v>64</v>
      </c>
      <c r="R90" s="33" t="s">
        <v>28</v>
      </c>
      <c r="S90" s="33" t="s">
        <v>138</v>
      </c>
    </row>
    <row r="91" spans="1:19" ht="18" customHeight="1">
      <c r="A91" s="33" t="s">
        <v>557</v>
      </c>
      <c r="B91" s="34" t="s">
        <v>469</v>
      </c>
      <c r="C91" s="34" t="s">
        <v>558</v>
      </c>
      <c r="D91" s="11" t="s">
        <v>59</v>
      </c>
      <c r="E91" s="34" t="s">
        <v>536</v>
      </c>
      <c r="F91" s="34" t="s">
        <v>559</v>
      </c>
      <c r="G91" s="34" t="s">
        <v>560</v>
      </c>
      <c r="H91" s="34" t="s">
        <v>561</v>
      </c>
      <c r="I91" s="34" t="s">
        <v>562</v>
      </c>
      <c r="J91" s="35">
        <v>45</v>
      </c>
      <c r="K91" s="36">
        <f t="shared" si="3"/>
        <v>1.8</v>
      </c>
      <c r="L91" s="36">
        <v>25</v>
      </c>
      <c r="M91" s="36">
        <v>3</v>
      </c>
      <c r="N91" s="37">
        <f t="shared" si="4"/>
        <v>15</v>
      </c>
      <c r="O91" s="38">
        <v>94.56</v>
      </c>
      <c r="P91" s="39">
        <f t="shared" si="5"/>
        <v>1418.4</v>
      </c>
      <c r="Q91" s="34" t="s">
        <v>64</v>
      </c>
      <c r="R91" s="33" t="s">
        <v>28</v>
      </c>
      <c r="S91" s="33" t="s">
        <v>138</v>
      </c>
    </row>
    <row r="92" spans="1:19" ht="18" customHeight="1">
      <c r="A92" s="40" t="s">
        <v>563</v>
      </c>
      <c r="B92" s="41" t="s">
        <v>564</v>
      </c>
      <c r="C92" s="41" t="s">
        <v>565</v>
      </c>
      <c r="D92" s="12" t="s">
        <v>67</v>
      </c>
      <c r="E92" s="41" t="s">
        <v>566</v>
      </c>
      <c r="F92" s="41" t="s">
        <v>567</v>
      </c>
      <c r="G92" s="41" t="s">
        <v>568</v>
      </c>
      <c r="H92" s="41" t="s">
        <v>569</v>
      </c>
      <c r="I92" s="41" t="s">
        <v>570</v>
      </c>
      <c r="J92" s="42">
        <v>25</v>
      </c>
      <c r="K92" s="43">
        <f t="shared" si="3"/>
        <v>0.625</v>
      </c>
      <c r="L92" s="43">
        <v>40</v>
      </c>
      <c r="M92" s="43">
        <v>3.5</v>
      </c>
      <c r="N92" s="44">
        <f t="shared" si="4"/>
        <v>7.1428571428571432</v>
      </c>
      <c r="O92" s="45">
        <v>94.56</v>
      </c>
      <c r="P92" s="46">
        <f t="shared" si="5"/>
        <v>675.42857142857144</v>
      </c>
      <c r="Q92" s="41" t="s">
        <v>37</v>
      </c>
      <c r="R92" s="40" t="s">
        <v>28</v>
      </c>
      <c r="S92" s="40" t="s">
        <v>571</v>
      </c>
    </row>
    <row r="93" spans="1:19" ht="18" customHeight="1">
      <c r="A93" s="40" t="s">
        <v>572</v>
      </c>
      <c r="B93" s="41" t="s">
        <v>564</v>
      </c>
      <c r="C93" s="41" t="s">
        <v>573</v>
      </c>
      <c r="D93" s="12" t="s">
        <v>67</v>
      </c>
      <c r="E93" s="41" t="s">
        <v>574</v>
      </c>
      <c r="F93" s="41" t="s">
        <v>575</v>
      </c>
      <c r="G93" s="41" t="s">
        <v>576</v>
      </c>
      <c r="H93" s="41" t="s">
        <v>577</v>
      </c>
      <c r="I93" s="41" t="s">
        <v>578</v>
      </c>
      <c r="J93" s="42">
        <v>45</v>
      </c>
      <c r="K93" s="43">
        <f t="shared" si="3"/>
        <v>1.125</v>
      </c>
      <c r="L93" s="43">
        <v>40</v>
      </c>
      <c r="M93" s="43">
        <v>3.5</v>
      </c>
      <c r="N93" s="44">
        <f t="shared" si="4"/>
        <v>12.857142857142858</v>
      </c>
      <c r="O93" s="45">
        <v>94.56</v>
      </c>
      <c r="P93" s="46">
        <f t="shared" si="5"/>
        <v>1215.7714285714287</v>
      </c>
      <c r="Q93" s="41" t="s">
        <v>37</v>
      </c>
      <c r="R93" s="40" t="s">
        <v>28</v>
      </c>
      <c r="S93" s="40" t="s">
        <v>571</v>
      </c>
    </row>
    <row r="94" spans="1:19" ht="18" customHeight="1">
      <c r="A94" s="40" t="s">
        <v>579</v>
      </c>
      <c r="B94" s="41" t="s">
        <v>564</v>
      </c>
      <c r="C94" s="41" t="s">
        <v>580</v>
      </c>
      <c r="D94" s="4" t="s">
        <v>22</v>
      </c>
      <c r="E94" s="41" t="s">
        <v>581</v>
      </c>
      <c r="F94" s="41" t="s">
        <v>582</v>
      </c>
      <c r="G94" s="41" t="s">
        <v>583</v>
      </c>
      <c r="H94" s="41" t="s">
        <v>577</v>
      </c>
      <c r="I94" s="41" t="s">
        <v>584</v>
      </c>
      <c r="J94" s="42">
        <v>10</v>
      </c>
      <c r="K94" s="43">
        <f t="shared" si="3"/>
        <v>0.22222222222222221</v>
      </c>
      <c r="L94" s="43">
        <v>45</v>
      </c>
      <c r="M94" s="43">
        <v>4</v>
      </c>
      <c r="N94" s="44">
        <f t="shared" si="4"/>
        <v>2.5</v>
      </c>
      <c r="O94" s="45">
        <v>94.56</v>
      </c>
      <c r="P94" s="46">
        <f t="shared" si="5"/>
        <v>236.4</v>
      </c>
      <c r="Q94" s="41" t="s">
        <v>37</v>
      </c>
      <c r="R94" s="40" t="s">
        <v>28</v>
      </c>
      <c r="S94" s="40" t="s">
        <v>571</v>
      </c>
    </row>
    <row r="95" spans="1:19" ht="18" customHeight="1">
      <c r="A95" s="40" t="s">
        <v>585</v>
      </c>
      <c r="B95" s="41" t="s">
        <v>564</v>
      </c>
      <c r="C95" s="41" t="s">
        <v>586</v>
      </c>
      <c r="D95" s="4" t="s">
        <v>22</v>
      </c>
      <c r="E95" s="41" t="s">
        <v>587</v>
      </c>
      <c r="F95" s="41" t="s">
        <v>581</v>
      </c>
      <c r="G95" s="41" t="s">
        <v>588</v>
      </c>
      <c r="H95" s="41" t="s">
        <v>589</v>
      </c>
      <c r="I95" s="41" t="s">
        <v>590</v>
      </c>
      <c r="J95" s="42">
        <v>35</v>
      </c>
      <c r="K95" s="43">
        <f t="shared" si="3"/>
        <v>0.77777777777777779</v>
      </c>
      <c r="L95" s="43">
        <v>45</v>
      </c>
      <c r="M95" s="43">
        <v>4</v>
      </c>
      <c r="N95" s="44">
        <f t="shared" si="4"/>
        <v>8.75</v>
      </c>
      <c r="O95" s="45">
        <v>94.56</v>
      </c>
      <c r="P95" s="46">
        <f t="shared" si="5"/>
        <v>827.4</v>
      </c>
      <c r="Q95" s="41" t="s">
        <v>37</v>
      </c>
      <c r="R95" s="40" t="s">
        <v>28</v>
      </c>
      <c r="S95" s="40" t="s">
        <v>571</v>
      </c>
    </row>
    <row r="96" spans="1:19" ht="18" customHeight="1">
      <c r="A96" s="40" t="s">
        <v>591</v>
      </c>
      <c r="B96" s="41" t="s">
        <v>564</v>
      </c>
      <c r="C96" s="41" t="s">
        <v>592</v>
      </c>
      <c r="D96" s="10" t="s">
        <v>45</v>
      </c>
      <c r="E96" s="41" t="s">
        <v>593</v>
      </c>
      <c r="F96" s="41" t="s">
        <v>594</v>
      </c>
      <c r="G96" s="41" t="s">
        <v>581</v>
      </c>
      <c r="H96" s="41" t="s">
        <v>577</v>
      </c>
      <c r="I96" s="41" t="s">
        <v>595</v>
      </c>
      <c r="J96" s="42">
        <v>8</v>
      </c>
      <c r="K96" s="43">
        <f t="shared" si="3"/>
        <v>0.4</v>
      </c>
      <c r="L96" s="43">
        <v>20</v>
      </c>
      <c r="M96" s="43">
        <v>3.5</v>
      </c>
      <c r="N96" s="44">
        <f t="shared" si="4"/>
        <v>2.2857142857142856</v>
      </c>
      <c r="O96" s="45">
        <v>94.56</v>
      </c>
      <c r="P96" s="46">
        <f t="shared" si="5"/>
        <v>216.13714285714286</v>
      </c>
      <c r="Q96" s="41" t="s">
        <v>37</v>
      </c>
      <c r="R96" s="40" t="s">
        <v>28</v>
      </c>
      <c r="S96" s="40" t="s">
        <v>571</v>
      </c>
    </row>
    <row r="97" spans="1:19" ht="18" customHeight="1">
      <c r="A97" s="40" t="s">
        <v>596</v>
      </c>
      <c r="B97" s="41" t="s">
        <v>564</v>
      </c>
      <c r="C97" s="41" t="s">
        <v>597</v>
      </c>
      <c r="D97" s="10" t="s">
        <v>45</v>
      </c>
      <c r="E97" s="41" t="s">
        <v>598</v>
      </c>
      <c r="F97" s="41" t="s">
        <v>599</v>
      </c>
      <c r="G97" s="41" t="s">
        <v>587</v>
      </c>
      <c r="H97" s="41" t="s">
        <v>569</v>
      </c>
      <c r="I97" s="41" t="s">
        <v>600</v>
      </c>
      <c r="J97" s="42">
        <v>10</v>
      </c>
      <c r="K97" s="43">
        <f t="shared" si="3"/>
        <v>0.5</v>
      </c>
      <c r="L97" s="43">
        <v>20</v>
      </c>
      <c r="M97" s="43">
        <v>3.5</v>
      </c>
      <c r="N97" s="44">
        <f t="shared" si="4"/>
        <v>2.8571428571428572</v>
      </c>
      <c r="O97" s="45">
        <v>94.56</v>
      </c>
      <c r="P97" s="46">
        <f t="shared" si="5"/>
        <v>270.17142857142858</v>
      </c>
      <c r="Q97" s="41" t="s">
        <v>37</v>
      </c>
      <c r="R97" s="40" t="s">
        <v>28</v>
      </c>
      <c r="S97" s="40" t="s">
        <v>571</v>
      </c>
    </row>
    <row r="98" spans="1:19" ht="18" customHeight="1">
      <c r="A98" s="40" t="s">
        <v>601</v>
      </c>
      <c r="B98" s="41" t="s">
        <v>564</v>
      </c>
      <c r="C98" s="41" t="s">
        <v>602</v>
      </c>
      <c r="D98" s="10" t="s">
        <v>45</v>
      </c>
      <c r="E98" s="41" t="s">
        <v>603</v>
      </c>
      <c r="F98" s="41" t="s">
        <v>604</v>
      </c>
      <c r="G98" s="41" t="s">
        <v>605</v>
      </c>
      <c r="H98" s="41" t="s">
        <v>577</v>
      </c>
      <c r="I98" s="41" t="s">
        <v>606</v>
      </c>
      <c r="J98" s="42">
        <v>8</v>
      </c>
      <c r="K98" s="43">
        <f t="shared" si="3"/>
        <v>0.4</v>
      </c>
      <c r="L98" s="43">
        <v>20</v>
      </c>
      <c r="M98" s="43">
        <v>3.5</v>
      </c>
      <c r="N98" s="44">
        <f t="shared" si="4"/>
        <v>2.2857142857142856</v>
      </c>
      <c r="O98" s="45">
        <v>94.56</v>
      </c>
      <c r="P98" s="46">
        <f t="shared" si="5"/>
        <v>216.13714285714286</v>
      </c>
      <c r="Q98" s="41" t="s">
        <v>37</v>
      </c>
      <c r="R98" s="40" t="s">
        <v>28</v>
      </c>
      <c r="S98" s="40" t="s">
        <v>571</v>
      </c>
    </row>
    <row r="99" spans="1:19" ht="18" customHeight="1">
      <c r="A99" s="40" t="s">
        <v>607</v>
      </c>
      <c r="B99" s="41" t="s">
        <v>564</v>
      </c>
      <c r="C99" s="41" t="s">
        <v>608</v>
      </c>
      <c r="D99" s="11" t="s">
        <v>59</v>
      </c>
      <c r="E99" s="41" t="s">
        <v>609</v>
      </c>
      <c r="F99" s="41" t="s">
        <v>610</v>
      </c>
      <c r="G99" s="41" t="s">
        <v>611</v>
      </c>
      <c r="H99" s="41" t="s">
        <v>577</v>
      </c>
      <c r="I99" s="41" t="s">
        <v>612</v>
      </c>
      <c r="J99" s="42">
        <v>50</v>
      </c>
      <c r="K99" s="43">
        <f t="shared" si="3"/>
        <v>2</v>
      </c>
      <c r="L99" s="43">
        <v>25</v>
      </c>
      <c r="M99" s="43">
        <v>3</v>
      </c>
      <c r="N99" s="44">
        <f t="shared" si="4"/>
        <v>16.666666666666668</v>
      </c>
      <c r="O99" s="45">
        <v>94.56</v>
      </c>
      <c r="P99" s="46">
        <f t="shared" si="5"/>
        <v>1576.0000000000002</v>
      </c>
      <c r="Q99" s="41" t="s">
        <v>27</v>
      </c>
      <c r="R99" s="40" t="s">
        <v>28</v>
      </c>
      <c r="S99" s="40" t="s">
        <v>571</v>
      </c>
    </row>
    <row r="100" spans="1:19" ht="18" customHeight="1">
      <c r="A100" s="40" t="s">
        <v>613</v>
      </c>
      <c r="B100" s="41" t="s">
        <v>564</v>
      </c>
      <c r="C100" s="41" t="s">
        <v>614</v>
      </c>
      <c r="D100" s="4" t="s">
        <v>22</v>
      </c>
      <c r="E100" s="41" t="s">
        <v>610</v>
      </c>
      <c r="F100" s="41" t="s">
        <v>615</v>
      </c>
      <c r="G100" s="41" t="s">
        <v>616</v>
      </c>
      <c r="H100" s="41" t="s">
        <v>577</v>
      </c>
      <c r="I100" s="41" t="s">
        <v>617</v>
      </c>
      <c r="J100" s="42">
        <v>30</v>
      </c>
      <c r="K100" s="43">
        <f t="shared" si="3"/>
        <v>0.66666666666666663</v>
      </c>
      <c r="L100" s="43">
        <v>45</v>
      </c>
      <c r="M100" s="43">
        <v>4</v>
      </c>
      <c r="N100" s="44">
        <f t="shared" si="4"/>
        <v>7.5</v>
      </c>
      <c r="O100" s="45">
        <v>94.56</v>
      </c>
      <c r="P100" s="46">
        <f t="shared" si="5"/>
        <v>709.2</v>
      </c>
      <c r="Q100" s="41" t="s">
        <v>37</v>
      </c>
      <c r="R100" s="40" t="s">
        <v>28</v>
      </c>
      <c r="S100" s="40" t="s">
        <v>571</v>
      </c>
    </row>
    <row r="101" spans="1:19" ht="18" customHeight="1">
      <c r="A101" s="40" t="s">
        <v>618</v>
      </c>
      <c r="B101" s="41" t="s">
        <v>564</v>
      </c>
      <c r="C101" s="41" t="s">
        <v>619</v>
      </c>
      <c r="D101" s="12" t="s">
        <v>67</v>
      </c>
      <c r="E101" s="41" t="s">
        <v>620</v>
      </c>
      <c r="F101" s="41" t="s">
        <v>621</v>
      </c>
      <c r="G101" s="41" t="s">
        <v>622</v>
      </c>
      <c r="H101" s="41" t="s">
        <v>569</v>
      </c>
      <c r="I101" s="41" t="s">
        <v>623</v>
      </c>
      <c r="J101" s="42">
        <v>10</v>
      </c>
      <c r="K101" s="43">
        <f t="shared" si="3"/>
        <v>0.25</v>
      </c>
      <c r="L101" s="43">
        <v>40</v>
      </c>
      <c r="M101" s="43">
        <v>3.5</v>
      </c>
      <c r="N101" s="44">
        <f t="shared" si="4"/>
        <v>2.8571428571428572</v>
      </c>
      <c r="O101" s="45">
        <v>94.56</v>
      </c>
      <c r="P101" s="46">
        <f t="shared" si="5"/>
        <v>270.17142857142858</v>
      </c>
      <c r="Q101" s="41" t="s">
        <v>37</v>
      </c>
      <c r="R101" s="40" t="s">
        <v>28</v>
      </c>
      <c r="S101" s="40" t="s">
        <v>72</v>
      </c>
    </row>
    <row r="102" spans="1:19" ht="18" customHeight="1">
      <c r="A102" s="40" t="s">
        <v>624</v>
      </c>
      <c r="B102" s="41" t="s">
        <v>564</v>
      </c>
      <c r="C102" s="41" t="s">
        <v>625</v>
      </c>
      <c r="D102" s="13" t="s">
        <v>81</v>
      </c>
      <c r="E102" s="41" t="s">
        <v>587</v>
      </c>
      <c r="F102" s="41" t="s">
        <v>626</v>
      </c>
      <c r="G102" s="41" t="s">
        <v>627</v>
      </c>
      <c r="H102" s="41" t="s">
        <v>569</v>
      </c>
      <c r="I102" s="41" t="s">
        <v>628</v>
      </c>
      <c r="J102" s="42">
        <v>120</v>
      </c>
      <c r="K102" s="43">
        <f t="shared" si="3"/>
        <v>2.4</v>
      </c>
      <c r="L102" s="43">
        <v>50</v>
      </c>
      <c r="M102" s="43">
        <v>4.5</v>
      </c>
      <c r="N102" s="44">
        <f t="shared" si="4"/>
        <v>26.666666666666668</v>
      </c>
      <c r="O102" s="45">
        <v>94.56</v>
      </c>
      <c r="P102" s="46">
        <f t="shared" si="5"/>
        <v>2521.6000000000004</v>
      </c>
      <c r="Q102" s="41" t="s">
        <v>37</v>
      </c>
      <c r="R102" s="40" t="s">
        <v>85</v>
      </c>
      <c r="S102" s="40" t="s">
        <v>86</v>
      </c>
    </row>
    <row r="103" spans="1:19" ht="18" customHeight="1">
      <c r="A103" s="40" t="s">
        <v>629</v>
      </c>
      <c r="B103" s="41" t="s">
        <v>564</v>
      </c>
      <c r="C103" s="41" t="s">
        <v>630</v>
      </c>
      <c r="D103" s="13" t="s">
        <v>81</v>
      </c>
      <c r="E103" s="41" t="s">
        <v>631</v>
      </c>
      <c r="F103" s="41" t="s">
        <v>632</v>
      </c>
      <c r="G103" s="41" t="s">
        <v>633</v>
      </c>
      <c r="H103" s="41" t="s">
        <v>589</v>
      </c>
      <c r="I103" s="41" t="s">
        <v>634</v>
      </c>
      <c r="J103" s="42">
        <v>130</v>
      </c>
      <c r="K103" s="43">
        <f t="shared" si="3"/>
        <v>2.6</v>
      </c>
      <c r="L103" s="43">
        <v>50</v>
      </c>
      <c r="M103" s="43">
        <v>4.5</v>
      </c>
      <c r="N103" s="44">
        <f t="shared" si="4"/>
        <v>28.888888888888889</v>
      </c>
      <c r="O103" s="45">
        <v>94.56</v>
      </c>
      <c r="P103" s="46">
        <f t="shared" si="5"/>
        <v>2731.7333333333336</v>
      </c>
      <c r="Q103" s="41" t="s">
        <v>37</v>
      </c>
      <c r="R103" s="40" t="s">
        <v>85</v>
      </c>
      <c r="S103" s="40" t="s">
        <v>86</v>
      </c>
    </row>
    <row r="104" spans="1:19" ht="18" customHeight="1">
      <c r="A104" s="40" t="s">
        <v>635</v>
      </c>
      <c r="B104" s="41" t="s">
        <v>564</v>
      </c>
      <c r="C104" s="41" t="s">
        <v>636</v>
      </c>
      <c r="D104" s="13" t="s">
        <v>81</v>
      </c>
      <c r="E104" s="41" t="s">
        <v>574</v>
      </c>
      <c r="F104" s="41" t="s">
        <v>626</v>
      </c>
      <c r="G104" s="41" t="s">
        <v>637</v>
      </c>
      <c r="H104" s="41" t="s">
        <v>577</v>
      </c>
      <c r="I104" s="41" t="s">
        <v>638</v>
      </c>
      <c r="J104" s="42">
        <v>75</v>
      </c>
      <c r="K104" s="43">
        <f t="shared" si="3"/>
        <v>1.5</v>
      </c>
      <c r="L104" s="43">
        <v>50</v>
      </c>
      <c r="M104" s="43">
        <v>4.5</v>
      </c>
      <c r="N104" s="44">
        <f t="shared" si="4"/>
        <v>16.666666666666668</v>
      </c>
      <c r="O104" s="45">
        <v>94.56</v>
      </c>
      <c r="P104" s="46">
        <f t="shared" si="5"/>
        <v>1576.0000000000002</v>
      </c>
      <c r="Q104" s="41" t="s">
        <v>37</v>
      </c>
      <c r="R104" s="40" t="s">
        <v>85</v>
      </c>
      <c r="S104" s="40" t="s">
        <v>86</v>
      </c>
    </row>
    <row r="105" spans="1:19" ht="18" customHeight="1">
      <c r="A105" s="40" t="s">
        <v>639</v>
      </c>
      <c r="B105" s="41" t="s">
        <v>564</v>
      </c>
      <c r="C105" s="41" t="s">
        <v>640</v>
      </c>
      <c r="D105" s="4" t="s">
        <v>22</v>
      </c>
      <c r="E105" s="41" t="s">
        <v>566</v>
      </c>
      <c r="F105" s="41" t="s">
        <v>641</v>
      </c>
      <c r="G105" s="41" t="s">
        <v>642</v>
      </c>
      <c r="H105" s="41" t="s">
        <v>569</v>
      </c>
      <c r="I105" s="41" t="s">
        <v>643</v>
      </c>
      <c r="J105" s="42">
        <v>15</v>
      </c>
      <c r="K105" s="43">
        <f t="shared" si="3"/>
        <v>0.33333333333333331</v>
      </c>
      <c r="L105" s="43">
        <v>45</v>
      </c>
      <c r="M105" s="43">
        <v>4</v>
      </c>
      <c r="N105" s="44">
        <f t="shared" si="4"/>
        <v>3.75</v>
      </c>
      <c r="O105" s="45">
        <v>94.56</v>
      </c>
      <c r="P105" s="46">
        <f t="shared" si="5"/>
        <v>354.6</v>
      </c>
      <c r="Q105" s="41" t="s">
        <v>37</v>
      </c>
      <c r="R105" s="40" t="s">
        <v>28</v>
      </c>
      <c r="S105" s="40" t="s">
        <v>125</v>
      </c>
    </row>
    <row r="106" spans="1:19" ht="18" customHeight="1">
      <c r="A106" s="40" t="s">
        <v>644</v>
      </c>
      <c r="B106" s="41" t="s">
        <v>564</v>
      </c>
      <c r="C106" s="41" t="s">
        <v>645</v>
      </c>
      <c r="D106" s="12" t="s">
        <v>67</v>
      </c>
      <c r="E106" s="41" t="s">
        <v>605</v>
      </c>
      <c r="F106" s="41" t="s">
        <v>646</v>
      </c>
      <c r="G106" s="41" t="s">
        <v>647</v>
      </c>
      <c r="H106" s="41" t="s">
        <v>577</v>
      </c>
      <c r="I106" s="41" t="s">
        <v>648</v>
      </c>
      <c r="J106" s="42">
        <v>10</v>
      </c>
      <c r="K106" s="43">
        <f t="shared" si="3"/>
        <v>0.25</v>
      </c>
      <c r="L106" s="43">
        <v>40</v>
      </c>
      <c r="M106" s="43">
        <v>3.5</v>
      </c>
      <c r="N106" s="44">
        <f t="shared" si="4"/>
        <v>2.8571428571428572</v>
      </c>
      <c r="O106" s="45">
        <v>94.56</v>
      </c>
      <c r="P106" s="46">
        <f t="shared" si="5"/>
        <v>270.17142857142858</v>
      </c>
      <c r="Q106" s="41" t="s">
        <v>37</v>
      </c>
      <c r="R106" s="40" t="s">
        <v>28</v>
      </c>
      <c r="S106" s="40" t="s">
        <v>138</v>
      </c>
    </row>
    <row r="107" spans="1:19" ht="18" customHeight="1">
      <c r="A107" s="40" t="s">
        <v>649</v>
      </c>
      <c r="B107" s="41" t="s">
        <v>564</v>
      </c>
      <c r="C107" s="41" t="s">
        <v>650</v>
      </c>
      <c r="D107" s="11" t="s">
        <v>59</v>
      </c>
      <c r="E107" s="41" t="s">
        <v>651</v>
      </c>
      <c r="F107" s="41" t="s">
        <v>652</v>
      </c>
      <c r="G107" s="41" t="s">
        <v>653</v>
      </c>
      <c r="H107" s="41" t="s">
        <v>569</v>
      </c>
      <c r="I107" s="41" t="s">
        <v>654</v>
      </c>
      <c r="J107" s="42">
        <v>35</v>
      </c>
      <c r="K107" s="43">
        <f t="shared" si="3"/>
        <v>1.4</v>
      </c>
      <c r="L107" s="43">
        <v>25</v>
      </c>
      <c r="M107" s="43">
        <v>3</v>
      </c>
      <c r="N107" s="44">
        <f t="shared" si="4"/>
        <v>11.666666666666666</v>
      </c>
      <c r="O107" s="45">
        <v>94.56</v>
      </c>
      <c r="P107" s="46">
        <f t="shared" si="5"/>
        <v>1103.2</v>
      </c>
      <c r="Q107" s="41" t="s">
        <v>27</v>
      </c>
      <c r="R107" s="40" t="s">
        <v>28</v>
      </c>
      <c r="S107" s="40" t="s">
        <v>138</v>
      </c>
    </row>
    <row r="108" spans="1:19" ht="18" customHeight="1">
      <c r="A108" s="47" t="s">
        <v>655</v>
      </c>
      <c r="B108" s="48" t="s">
        <v>656</v>
      </c>
      <c r="C108" s="48" t="s">
        <v>657</v>
      </c>
      <c r="D108" s="15" t="s">
        <v>519</v>
      </c>
      <c r="E108" s="48" t="s">
        <v>658</v>
      </c>
      <c r="F108" s="48" t="s">
        <v>659</v>
      </c>
      <c r="G108" s="48" t="s">
        <v>660</v>
      </c>
      <c r="H108" s="48" t="s">
        <v>660</v>
      </c>
      <c r="I108" s="48" t="s">
        <v>661</v>
      </c>
      <c r="J108" s="49">
        <v>200</v>
      </c>
      <c r="K108" s="50">
        <f t="shared" si="3"/>
        <v>2.5</v>
      </c>
      <c r="L108" s="50">
        <v>80</v>
      </c>
      <c r="M108" s="50">
        <v>5</v>
      </c>
      <c r="N108" s="51">
        <f t="shared" si="4"/>
        <v>40</v>
      </c>
      <c r="O108" s="52">
        <v>94.56</v>
      </c>
      <c r="P108" s="53">
        <f t="shared" si="5"/>
        <v>3782.4</v>
      </c>
      <c r="Q108" s="48" t="s">
        <v>37</v>
      </c>
      <c r="R108" s="47" t="s">
        <v>85</v>
      </c>
      <c r="S108" s="47" t="s">
        <v>29</v>
      </c>
    </row>
    <row r="109" spans="1:19" ht="18" customHeight="1">
      <c r="A109" s="47" t="s">
        <v>662</v>
      </c>
      <c r="B109" s="48" t="s">
        <v>656</v>
      </c>
      <c r="C109" s="48" t="s">
        <v>663</v>
      </c>
      <c r="D109" s="4" t="s">
        <v>22</v>
      </c>
      <c r="E109" s="48" t="s">
        <v>664</v>
      </c>
      <c r="F109" s="48" t="s">
        <v>665</v>
      </c>
      <c r="G109" s="48" t="s">
        <v>666</v>
      </c>
      <c r="H109" s="48" t="s">
        <v>667</v>
      </c>
      <c r="I109" s="48" t="s">
        <v>668</v>
      </c>
      <c r="J109" s="49">
        <v>320</v>
      </c>
      <c r="K109" s="50">
        <f t="shared" si="3"/>
        <v>7.1111111111111107</v>
      </c>
      <c r="L109" s="50">
        <v>45</v>
      </c>
      <c r="M109" s="50">
        <v>4</v>
      </c>
      <c r="N109" s="51">
        <f t="shared" si="4"/>
        <v>80</v>
      </c>
      <c r="O109" s="52">
        <v>94.56</v>
      </c>
      <c r="P109" s="53">
        <f t="shared" si="5"/>
        <v>7564.8</v>
      </c>
      <c r="Q109" s="48" t="s">
        <v>27</v>
      </c>
      <c r="R109" s="47" t="s">
        <v>28</v>
      </c>
      <c r="S109" s="47" t="s">
        <v>669</v>
      </c>
    </row>
    <row r="110" spans="1:19" ht="18" customHeight="1">
      <c r="A110" s="47" t="s">
        <v>670</v>
      </c>
      <c r="B110" s="48" t="s">
        <v>656</v>
      </c>
      <c r="C110" s="48" t="s">
        <v>671</v>
      </c>
      <c r="D110" s="10" t="s">
        <v>45</v>
      </c>
      <c r="E110" s="48" t="s">
        <v>672</v>
      </c>
      <c r="F110" s="48" t="s">
        <v>673</v>
      </c>
      <c r="G110" s="48" t="s">
        <v>658</v>
      </c>
      <c r="H110" s="48" t="s">
        <v>658</v>
      </c>
      <c r="I110" s="48" t="s">
        <v>674</v>
      </c>
      <c r="J110" s="49">
        <v>30</v>
      </c>
      <c r="K110" s="50">
        <f t="shared" si="3"/>
        <v>1.5</v>
      </c>
      <c r="L110" s="50">
        <v>20</v>
      </c>
      <c r="M110" s="50">
        <v>3.5</v>
      </c>
      <c r="N110" s="51">
        <f t="shared" si="4"/>
        <v>8.5714285714285712</v>
      </c>
      <c r="O110" s="52">
        <v>94.56</v>
      </c>
      <c r="P110" s="53">
        <f t="shared" si="5"/>
        <v>810.51428571428573</v>
      </c>
      <c r="Q110" s="48" t="s">
        <v>37</v>
      </c>
      <c r="R110" s="47" t="s">
        <v>28</v>
      </c>
      <c r="S110" s="47" t="s">
        <v>571</v>
      </c>
    </row>
    <row r="111" spans="1:19" ht="18" customHeight="1">
      <c r="A111" s="47" t="s">
        <v>675</v>
      </c>
      <c r="B111" s="48" t="s">
        <v>656</v>
      </c>
      <c r="C111" s="48" t="s">
        <v>676</v>
      </c>
      <c r="D111" s="10" t="s">
        <v>45</v>
      </c>
      <c r="E111" s="48" t="s">
        <v>677</v>
      </c>
      <c r="F111" s="48" t="s">
        <v>678</v>
      </c>
      <c r="G111" s="48" t="s">
        <v>679</v>
      </c>
      <c r="H111" s="48" t="s">
        <v>679</v>
      </c>
      <c r="I111" s="48" t="s">
        <v>680</v>
      </c>
      <c r="J111" s="49">
        <v>25</v>
      </c>
      <c r="K111" s="50">
        <f t="shared" si="3"/>
        <v>1.25</v>
      </c>
      <c r="L111" s="50">
        <v>20</v>
      </c>
      <c r="M111" s="50">
        <v>3.5</v>
      </c>
      <c r="N111" s="51">
        <f t="shared" si="4"/>
        <v>7.1428571428571432</v>
      </c>
      <c r="O111" s="52">
        <v>94.56</v>
      </c>
      <c r="P111" s="53">
        <f t="shared" si="5"/>
        <v>675.42857142857144</v>
      </c>
      <c r="Q111" s="48" t="s">
        <v>37</v>
      </c>
      <c r="R111" s="47" t="s">
        <v>28</v>
      </c>
      <c r="S111" s="47" t="s">
        <v>571</v>
      </c>
    </row>
    <row r="112" spans="1:19" ht="18" customHeight="1">
      <c r="A112" s="47" t="s">
        <v>681</v>
      </c>
      <c r="B112" s="48" t="s">
        <v>656</v>
      </c>
      <c r="C112" s="48" t="s">
        <v>682</v>
      </c>
      <c r="D112" s="10" t="s">
        <v>45</v>
      </c>
      <c r="E112" s="48" t="s">
        <v>683</v>
      </c>
      <c r="F112" s="48" t="s">
        <v>684</v>
      </c>
      <c r="G112" s="48" t="s">
        <v>685</v>
      </c>
      <c r="H112" s="48" t="s">
        <v>685</v>
      </c>
      <c r="I112" s="48" t="s">
        <v>686</v>
      </c>
      <c r="J112" s="49">
        <v>15</v>
      </c>
      <c r="K112" s="50">
        <f t="shared" si="3"/>
        <v>0.75</v>
      </c>
      <c r="L112" s="50">
        <v>20</v>
      </c>
      <c r="M112" s="50">
        <v>3.5</v>
      </c>
      <c r="N112" s="51">
        <f t="shared" si="4"/>
        <v>4.2857142857142856</v>
      </c>
      <c r="O112" s="52">
        <v>94.56</v>
      </c>
      <c r="P112" s="53">
        <f t="shared" si="5"/>
        <v>405.25714285714287</v>
      </c>
      <c r="Q112" s="48" t="s">
        <v>37</v>
      </c>
      <c r="R112" s="47" t="s">
        <v>28</v>
      </c>
      <c r="S112" s="47" t="s">
        <v>571</v>
      </c>
    </row>
    <row r="113" spans="1:19" ht="18" customHeight="1">
      <c r="A113" s="47" t="s">
        <v>687</v>
      </c>
      <c r="B113" s="48" t="s">
        <v>656</v>
      </c>
      <c r="C113" s="48" t="s">
        <v>688</v>
      </c>
      <c r="D113" s="12" t="s">
        <v>67</v>
      </c>
      <c r="E113" s="48" t="s">
        <v>689</v>
      </c>
      <c r="F113" s="48" t="s">
        <v>690</v>
      </c>
      <c r="G113" s="48" t="s">
        <v>691</v>
      </c>
      <c r="H113" s="48" t="s">
        <v>692</v>
      </c>
      <c r="I113" s="48" t="s">
        <v>149</v>
      </c>
      <c r="J113" s="49">
        <v>20</v>
      </c>
      <c r="K113" s="50">
        <f t="shared" si="3"/>
        <v>0.5</v>
      </c>
      <c r="L113" s="50">
        <v>40</v>
      </c>
      <c r="M113" s="50">
        <v>3.5</v>
      </c>
      <c r="N113" s="51">
        <f t="shared" si="4"/>
        <v>5.7142857142857144</v>
      </c>
      <c r="O113" s="52">
        <v>94.56</v>
      </c>
      <c r="P113" s="53">
        <f t="shared" si="5"/>
        <v>540.34285714285716</v>
      </c>
      <c r="Q113" s="48" t="s">
        <v>37</v>
      </c>
      <c r="R113" s="47" t="s">
        <v>28</v>
      </c>
      <c r="S113" s="47" t="s">
        <v>693</v>
      </c>
    </row>
    <row r="114" spans="1:19" ht="18" customHeight="1">
      <c r="A114" s="47" t="s">
        <v>694</v>
      </c>
      <c r="B114" s="48" t="s">
        <v>656</v>
      </c>
      <c r="C114" s="48" t="s">
        <v>695</v>
      </c>
      <c r="D114" s="12" t="s">
        <v>67</v>
      </c>
      <c r="E114" s="48" t="s">
        <v>696</v>
      </c>
      <c r="F114" s="48" t="s">
        <v>697</v>
      </c>
      <c r="G114" s="48" t="s">
        <v>698</v>
      </c>
      <c r="H114" s="48" t="s">
        <v>696</v>
      </c>
      <c r="I114" s="48" t="s">
        <v>661</v>
      </c>
      <c r="J114" s="49">
        <v>50</v>
      </c>
      <c r="K114" s="50">
        <f t="shared" si="3"/>
        <v>1.25</v>
      </c>
      <c r="L114" s="50">
        <v>40</v>
      </c>
      <c r="M114" s="50">
        <v>3.5</v>
      </c>
      <c r="N114" s="51">
        <f t="shared" si="4"/>
        <v>14.285714285714286</v>
      </c>
      <c r="O114" s="52">
        <v>94.56</v>
      </c>
      <c r="P114" s="53">
        <f t="shared" si="5"/>
        <v>1350.8571428571429</v>
      </c>
      <c r="Q114" s="48" t="s">
        <v>27</v>
      </c>
      <c r="R114" s="47" t="s">
        <v>28</v>
      </c>
      <c r="S114" s="47" t="s">
        <v>72</v>
      </c>
    </row>
    <row r="115" spans="1:19" ht="18" customHeight="1">
      <c r="A115" s="47" t="s">
        <v>699</v>
      </c>
      <c r="B115" s="48" t="s">
        <v>656</v>
      </c>
      <c r="C115" s="48" t="s">
        <v>700</v>
      </c>
      <c r="D115" s="12" t="s">
        <v>67</v>
      </c>
      <c r="E115" s="48" t="s">
        <v>701</v>
      </c>
      <c r="F115" s="48" t="s">
        <v>659</v>
      </c>
      <c r="G115" s="48" t="s">
        <v>702</v>
      </c>
      <c r="H115" s="48" t="s">
        <v>702</v>
      </c>
      <c r="I115" s="48" t="s">
        <v>661</v>
      </c>
      <c r="J115" s="49">
        <v>55</v>
      </c>
      <c r="K115" s="50">
        <f t="shared" si="3"/>
        <v>1.375</v>
      </c>
      <c r="L115" s="50">
        <v>40</v>
      </c>
      <c r="M115" s="50">
        <v>3.5</v>
      </c>
      <c r="N115" s="51">
        <f t="shared" si="4"/>
        <v>15.714285714285714</v>
      </c>
      <c r="O115" s="52">
        <v>94.56</v>
      </c>
      <c r="P115" s="53">
        <f t="shared" si="5"/>
        <v>1485.9428571428571</v>
      </c>
      <c r="Q115" s="48" t="s">
        <v>37</v>
      </c>
      <c r="R115" s="47" t="s">
        <v>28</v>
      </c>
      <c r="S115" s="47" t="s">
        <v>72</v>
      </c>
    </row>
    <row r="116" spans="1:19" ht="18" customHeight="1">
      <c r="A116" s="47" t="s">
        <v>703</v>
      </c>
      <c r="B116" s="48" t="s">
        <v>656</v>
      </c>
      <c r="C116" s="48" t="s">
        <v>704</v>
      </c>
      <c r="D116" s="13" t="s">
        <v>81</v>
      </c>
      <c r="E116" s="48" t="s">
        <v>664</v>
      </c>
      <c r="F116" s="48" t="s">
        <v>705</v>
      </c>
      <c r="G116" s="48" t="s">
        <v>706</v>
      </c>
      <c r="H116" s="48" t="s">
        <v>707</v>
      </c>
      <c r="I116" s="48" t="s">
        <v>708</v>
      </c>
      <c r="J116" s="49">
        <v>380</v>
      </c>
      <c r="K116" s="50">
        <f t="shared" si="3"/>
        <v>7.6</v>
      </c>
      <c r="L116" s="50">
        <v>50</v>
      </c>
      <c r="M116" s="50">
        <v>4.5</v>
      </c>
      <c r="N116" s="51">
        <f t="shared" si="4"/>
        <v>84.444444444444443</v>
      </c>
      <c r="O116" s="52">
        <v>94.56</v>
      </c>
      <c r="P116" s="53">
        <f t="shared" si="5"/>
        <v>7985.0666666666666</v>
      </c>
      <c r="Q116" s="48" t="s">
        <v>37</v>
      </c>
      <c r="R116" s="47" t="s">
        <v>85</v>
      </c>
      <c r="S116" s="47" t="s">
        <v>86</v>
      </c>
    </row>
    <row r="117" spans="1:19" ht="18" customHeight="1">
      <c r="A117" s="47" t="s">
        <v>709</v>
      </c>
      <c r="B117" s="48" t="s">
        <v>656</v>
      </c>
      <c r="C117" s="48" t="s">
        <v>710</v>
      </c>
      <c r="D117" s="13" t="s">
        <v>81</v>
      </c>
      <c r="E117" s="48" t="s">
        <v>711</v>
      </c>
      <c r="F117" s="48" t="s">
        <v>658</v>
      </c>
      <c r="G117" s="48" t="s">
        <v>712</v>
      </c>
      <c r="H117" s="48" t="s">
        <v>713</v>
      </c>
      <c r="I117" s="48" t="s">
        <v>714</v>
      </c>
      <c r="J117" s="49">
        <v>210</v>
      </c>
      <c r="K117" s="50">
        <f t="shared" si="3"/>
        <v>4.2</v>
      </c>
      <c r="L117" s="50">
        <v>50</v>
      </c>
      <c r="M117" s="50">
        <v>4.5</v>
      </c>
      <c r="N117" s="51">
        <f t="shared" si="4"/>
        <v>46.666666666666664</v>
      </c>
      <c r="O117" s="52">
        <v>94.56</v>
      </c>
      <c r="P117" s="53">
        <f t="shared" si="5"/>
        <v>4412.8</v>
      </c>
      <c r="Q117" s="48" t="s">
        <v>37</v>
      </c>
      <c r="R117" s="47" t="s">
        <v>85</v>
      </c>
      <c r="S117" s="47" t="s">
        <v>86</v>
      </c>
    </row>
    <row r="118" spans="1:19" ht="18" customHeight="1">
      <c r="A118" s="47" t="s">
        <v>715</v>
      </c>
      <c r="B118" s="48" t="s">
        <v>656</v>
      </c>
      <c r="C118" s="48" t="s">
        <v>716</v>
      </c>
      <c r="D118" s="15" t="s">
        <v>519</v>
      </c>
      <c r="E118" s="48" t="s">
        <v>658</v>
      </c>
      <c r="F118" s="48" t="s">
        <v>685</v>
      </c>
      <c r="G118" s="48" t="s">
        <v>717</v>
      </c>
      <c r="H118" s="48" t="s">
        <v>717</v>
      </c>
      <c r="I118" s="48" t="s">
        <v>718</v>
      </c>
      <c r="J118" s="49">
        <v>105</v>
      </c>
      <c r="K118" s="50">
        <f t="shared" si="3"/>
        <v>1.3125</v>
      </c>
      <c r="L118" s="50">
        <v>80</v>
      </c>
      <c r="M118" s="50">
        <v>5</v>
      </c>
      <c r="N118" s="51">
        <f t="shared" si="4"/>
        <v>21</v>
      </c>
      <c r="O118" s="52">
        <v>94.56</v>
      </c>
      <c r="P118" s="53">
        <f t="shared" si="5"/>
        <v>1985.76</v>
      </c>
      <c r="Q118" s="48" t="s">
        <v>37</v>
      </c>
      <c r="R118" s="47" t="s">
        <v>85</v>
      </c>
      <c r="S118" s="47" t="s">
        <v>86</v>
      </c>
    </row>
    <row r="119" spans="1:19" ht="18" customHeight="1">
      <c r="A119" s="47" t="s">
        <v>719</v>
      </c>
      <c r="B119" s="48" t="s">
        <v>656</v>
      </c>
      <c r="C119" s="48" t="s">
        <v>720</v>
      </c>
      <c r="D119" s="15" t="s">
        <v>519</v>
      </c>
      <c r="E119" s="48" t="s">
        <v>685</v>
      </c>
      <c r="F119" s="48" t="s">
        <v>679</v>
      </c>
      <c r="G119" s="48" t="s">
        <v>721</v>
      </c>
      <c r="H119" s="48" t="s">
        <v>721</v>
      </c>
      <c r="I119" s="48" t="s">
        <v>722</v>
      </c>
      <c r="J119" s="49">
        <v>160</v>
      </c>
      <c r="K119" s="50">
        <f t="shared" si="3"/>
        <v>2</v>
      </c>
      <c r="L119" s="50">
        <v>80</v>
      </c>
      <c r="M119" s="50">
        <v>5</v>
      </c>
      <c r="N119" s="51">
        <f t="shared" si="4"/>
        <v>32</v>
      </c>
      <c r="O119" s="52">
        <v>94.56</v>
      </c>
      <c r="P119" s="53">
        <f t="shared" si="5"/>
        <v>3025.92</v>
      </c>
      <c r="Q119" s="48" t="s">
        <v>37</v>
      </c>
      <c r="R119" s="47" t="s">
        <v>85</v>
      </c>
      <c r="S119" s="47" t="s">
        <v>86</v>
      </c>
    </row>
    <row r="120" spans="1:19" ht="18" customHeight="1">
      <c r="A120" s="47" t="s">
        <v>723</v>
      </c>
      <c r="B120" s="48" t="s">
        <v>656</v>
      </c>
      <c r="C120" s="48" t="s">
        <v>724</v>
      </c>
      <c r="D120" s="13" t="s">
        <v>81</v>
      </c>
      <c r="E120" s="48" t="s">
        <v>658</v>
      </c>
      <c r="F120" s="48" t="s">
        <v>725</v>
      </c>
      <c r="G120" s="48" t="s">
        <v>726</v>
      </c>
      <c r="H120" s="48" t="s">
        <v>727</v>
      </c>
      <c r="I120" s="48" t="s">
        <v>728</v>
      </c>
      <c r="J120" s="49">
        <v>390</v>
      </c>
      <c r="K120" s="50">
        <f t="shared" si="3"/>
        <v>7.8</v>
      </c>
      <c r="L120" s="50">
        <v>50</v>
      </c>
      <c r="M120" s="50">
        <v>4.5</v>
      </c>
      <c r="N120" s="51">
        <f t="shared" si="4"/>
        <v>86.666666666666671</v>
      </c>
      <c r="O120" s="52">
        <v>94.56</v>
      </c>
      <c r="P120" s="53">
        <f t="shared" si="5"/>
        <v>8195.2000000000007</v>
      </c>
      <c r="Q120" s="48" t="s">
        <v>37</v>
      </c>
      <c r="R120" s="47" t="s">
        <v>85</v>
      </c>
      <c r="S120" s="47" t="s">
        <v>86</v>
      </c>
    </row>
    <row r="121" spans="1:19" ht="18" customHeight="1">
      <c r="A121" s="47" t="s">
        <v>729</v>
      </c>
      <c r="B121" s="48" t="s">
        <v>656</v>
      </c>
      <c r="C121" s="48" t="s">
        <v>730</v>
      </c>
      <c r="D121" s="13" t="s">
        <v>81</v>
      </c>
      <c r="E121" s="48" t="s">
        <v>679</v>
      </c>
      <c r="F121" s="48" t="s">
        <v>731</v>
      </c>
      <c r="G121" s="48" t="s">
        <v>732</v>
      </c>
      <c r="H121" s="48" t="s">
        <v>679</v>
      </c>
      <c r="I121" s="48" t="s">
        <v>733</v>
      </c>
      <c r="J121" s="49">
        <v>25</v>
      </c>
      <c r="K121" s="50">
        <f t="shared" si="3"/>
        <v>0.5</v>
      </c>
      <c r="L121" s="50">
        <v>50</v>
      </c>
      <c r="M121" s="50">
        <v>4.5</v>
      </c>
      <c r="N121" s="51">
        <f t="shared" si="4"/>
        <v>5.5555555555555554</v>
      </c>
      <c r="O121" s="52">
        <v>94.56</v>
      </c>
      <c r="P121" s="53">
        <f t="shared" si="5"/>
        <v>525.33333333333337</v>
      </c>
      <c r="Q121" s="48" t="s">
        <v>37</v>
      </c>
      <c r="R121" s="47" t="s">
        <v>85</v>
      </c>
      <c r="S121" s="47" t="s">
        <v>86</v>
      </c>
    </row>
    <row r="122" spans="1:19" ht="18" customHeight="1">
      <c r="A122" s="47" t="s">
        <v>734</v>
      </c>
      <c r="B122" s="48" t="s">
        <v>656</v>
      </c>
      <c r="C122" s="48" t="s">
        <v>735</v>
      </c>
      <c r="D122" s="11" t="s">
        <v>59</v>
      </c>
      <c r="E122" s="48" t="s">
        <v>736</v>
      </c>
      <c r="F122" s="48" t="s">
        <v>737</v>
      </c>
      <c r="G122" s="48" t="s">
        <v>738</v>
      </c>
      <c r="H122" s="48" t="s">
        <v>692</v>
      </c>
      <c r="I122" s="48" t="s">
        <v>728</v>
      </c>
      <c r="J122" s="49">
        <v>130</v>
      </c>
      <c r="K122" s="50">
        <f t="shared" si="3"/>
        <v>5.2</v>
      </c>
      <c r="L122" s="50">
        <v>25</v>
      </c>
      <c r="M122" s="50">
        <v>3</v>
      </c>
      <c r="N122" s="51">
        <f t="shared" si="4"/>
        <v>43.333333333333336</v>
      </c>
      <c r="O122" s="52">
        <v>94.56</v>
      </c>
      <c r="P122" s="53">
        <f t="shared" si="5"/>
        <v>4097.6000000000004</v>
      </c>
      <c r="Q122" s="48" t="s">
        <v>27</v>
      </c>
      <c r="R122" s="47" t="s">
        <v>28</v>
      </c>
      <c r="S122" s="47" t="s">
        <v>524</v>
      </c>
    </row>
    <row r="123" spans="1:19" ht="18" customHeight="1">
      <c r="A123" s="47" t="s">
        <v>739</v>
      </c>
      <c r="B123" s="48" t="s">
        <v>656</v>
      </c>
      <c r="C123" s="48" t="s">
        <v>740</v>
      </c>
      <c r="D123" s="11" t="s">
        <v>59</v>
      </c>
      <c r="E123" s="48" t="s">
        <v>741</v>
      </c>
      <c r="F123" s="48" t="s">
        <v>742</v>
      </c>
      <c r="G123" s="48" t="s">
        <v>743</v>
      </c>
      <c r="H123" s="48" t="s">
        <v>741</v>
      </c>
      <c r="I123" s="48" t="s">
        <v>744</v>
      </c>
      <c r="J123" s="49">
        <v>50</v>
      </c>
      <c r="K123" s="50">
        <f t="shared" si="3"/>
        <v>2</v>
      </c>
      <c r="L123" s="50">
        <v>25</v>
      </c>
      <c r="M123" s="50">
        <v>3</v>
      </c>
      <c r="N123" s="51">
        <f t="shared" si="4"/>
        <v>16.666666666666668</v>
      </c>
      <c r="O123" s="52">
        <v>94.56</v>
      </c>
      <c r="P123" s="53">
        <f t="shared" si="5"/>
        <v>1576.0000000000002</v>
      </c>
      <c r="Q123" s="48" t="s">
        <v>27</v>
      </c>
      <c r="R123" s="47" t="s">
        <v>28</v>
      </c>
      <c r="S123" s="47" t="s">
        <v>524</v>
      </c>
    </row>
    <row r="124" spans="1:19" ht="18" customHeight="1">
      <c r="A124" s="47" t="s">
        <v>745</v>
      </c>
      <c r="B124" s="48" t="s">
        <v>656</v>
      </c>
      <c r="C124" s="48" t="s">
        <v>746</v>
      </c>
      <c r="D124" s="4" t="s">
        <v>22</v>
      </c>
      <c r="E124" s="48" t="s">
        <v>679</v>
      </c>
      <c r="F124" s="48" t="s">
        <v>747</v>
      </c>
      <c r="G124" s="48" t="s">
        <v>748</v>
      </c>
      <c r="H124" s="48" t="s">
        <v>749</v>
      </c>
      <c r="I124" s="48" t="s">
        <v>722</v>
      </c>
      <c r="J124" s="49">
        <v>130</v>
      </c>
      <c r="K124" s="50">
        <f t="shared" si="3"/>
        <v>2.8888888888888888</v>
      </c>
      <c r="L124" s="50">
        <v>45</v>
      </c>
      <c r="M124" s="50">
        <v>4</v>
      </c>
      <c r="N124" s="51">
        <f t="shared" si="4"/>
        <v>32.5</v>
      </c>
      <c r="O124" s="52">
        <v>94.56</v>
      </c>
      <c r="P124" s="53">
        <f t="shared" si="5"/>
        <v>3073.2000000000003</v>
      </c>
      <c r="Q124" s="48" t="s">
        <v>37</v>
      </c>
      <c r="R124" s="47" t="s">
        <v>28</v>
      </c>
      <c r="S124" s="47" t="s">
        <v>125</v>
      </c>
    </row>
    <row r="125" spans="1:19" ht="18" customHeight="1">
      <c r="A125" s="47" t="s">
        <v>750</v>
      </c>
      <c r="B125" s="48" t="s">
        <v>656</v>
      </c>
      <c r="C125" s="48" t="s">
        <v>751</v>
      </c>
      <c r="D125" s="4" t="s">
        <v>22</v>
      </c>
      <c r="E125" s="48" t="s">
        <v>752</v>
      </c>
      <c r="F125" s="48" t="s">
        <v>753</v>
      </c>
      <c r="G125" s="48" t="s">
        <v>754</v>
      </c>
      <c r="H125" s="48" t="s">
        <v>754</v>
      </c>
      <c r="I125" s="48" t="s">
        <v>714</v>
      </c>
      <c r="J125" s="49">
        <v>50</v>
      </c>
      <c r="K125" s="50">
        <f t="shared" si="3"/>
        <v>1.1111111111111112</v>
      </c>
      <c r="L125" s="50">
        <v>45</v>
      </c>
      <c r="M125" s="50">
        <v>4</v>
      </c>
      <c r="N125" s="51">
        <f t="shared" si="4"/>
        <v>12.5</v>
      </c>
      <c r="O125" s="52">
        <v>94.56</v>
      </c>
      <c r="P125" s="53">
        <f t="shared" si="5"/>
        <v>1182</v>
      </c>
      <c r="Q125" s="48" t="s">
        <v>27</v>
      </c>
      <c r="R125" s="47" t="s">
        <v>28</v>
      </c>
      <c r="S125" s="47" t="s">
        <v>125</v>
      </c>
    </row>
    <row r="126" spans="1:19" ht="18" customHeight="1">
      <c r="A126" s="47" t="s">
        <v>755</v>
      </c>
      <c r="B126" s="48" t="s">
        <v>656</v>
      </c>
      <c r="C126" s="48" t="s">
        <v>756</v>
      </c>
      <c r="D126" s="11" t="s">
        <v>59</v>
      </c>
      <c r="E126" s="48" t="s">
        <v>757</v>
      </c>
      <c r="F126" s="48" t="s">
        <v>758</v>
      </c>
      <c r="G126" s="48" t="s">
        <v>759</v>
      </c>
      <c r="H126" s="48" t="s">
        <v>760</v>
      </c>
      <c r="I126" s="48" t="s">
        <v>761</v>
      </c>
      <c r="J126" s="49">
        <v>35</v>
      </c>
      <c r="K126" s="50">
        <f t="shared" si="3"/>
        <v>1.4</v>
      </c>
      <c r="L126" s="50">
        <v>25</v>
      </c>
      <c r="M126" s="50">
        <v>3</v>
      </c>
      <c r="N126" s="51">
        <f t="shared" si="4"/>
        <v>11.666666666666666</v>
      </c>
      <c r="O126" s="52">
        <v>94.56</v>
      </c>
      <c r="P126" s="53">
        <f t="shared" si="5"/>
        <v>1103.2</v>
      </c>
      <c r="Q126" s="48" t="s">
        <v>27</v>
      </c>
      <c r="R126" s="47" t="s">
        <v>28</v>
      </c>
      <c r="S126" s="47" t="s">
        <v>138</v>
      </c>
    </row>
    <row r="127" spans="1:19" ht="18" customHeight="1">
      <c r="A127" s="47" t="s">
        <v>762</v>
      </c>
      <c r="B127" s="48" t="s">
        <v>656</v>
      </c>
      <c r="C127" s="48" t="s">
        <v>763</v>
      </c>
      <c r="D127" s="11" t="s">
        <v>59</v>
      </c>
      <c r="E127" s="48" t="s">
        <v>764</v>
      </c>
      <c r="F127" s="48" t="s">
        <v>765</v>
      </c>
      <c r="G127" s="48" t="s">
        <v>766</v>
      </c>
      <c r="H127" s="48" t="s">
        <v>764</v>
      </c>
      <c r="I127" s="48" t="s">
        <v>714</v>
      </c>
      <c r="J127" s="49">
        <v>55</v>
      </c>
      <c r="K127" s="50">
        <f t="shared" si="3"/>
        <v>2.2000000000000002</v>
      </c>
      <c r="L127" s="50">
        <v>25</v>
      </c>
      <c r="M127" s="50">
        <v>3</v>
      </c>
      <c r="N127" s="51">
        <f t="shared" si="4"/>
        <v>18.333333333333332</v>
      </c>
      <c r="O127" s="52">
        <v>94.56</v>
      </c>
      <c r="P127" s="53">
        <f t="shared" si="5"/>
        <v>1733.6</v>
      </c>
      <c r="Q127" s="48" t="s">
        <v>27</v>
      </c>
      <c r="R127" s="47" t="s">
        <v>28</v>
      </c>
      <c r="S127" s="47" t="s">
        <v>138</v>
      </c>
    </row>
    <row r="128" spans="1:19" ht="18" customHeight="1">
      <c r="A128" s="54" t="s">
        <v>767</v>
      </c>
      <c r="B128" s="55" t="s">
        <v>768</v>
      </c>
      <c r="C128" s="55" t="s">
        <v>769</v>
      </c>
      <c r="D128" s="15" t="s">
        <v>519</v>
      </c>
      <c r="E128" s="55" t="s">
        <v>770</v>
      </c>
      <c r="F128" s="55" t="s">
        <v>771</v>
      </c>
      <c r="G128" s="55" t="s">
        <v>772</v>
      </c>
      <c r="H128" s="55" t="s">
        <v>773</v>
      </c>
      <c r="I128" s="55" t="s">
        <v>774</v>
      </c>
      <c r="J128" s="56">
        <v>180</v>
      </c>
      <c r="K128" s="57">
        <f t="shared" si="3"/>
        <v>2.25</v>
      </c>
      <c r="L128" s="57">
        <v>80</v>
      </c>
      <c r="M128" s="57">
        <v>5</v>
      </c>
      <c r="N128" s="58">
        <f t="shared" si="4"/>
        <v>36</v>
      </c>
      <c r="O128" s="59">
        <v>94.56</v>
      </c>
      <c r="P128" s="60">
        <f t="shared" si="5"/>
        <v>3404.16</v>
      </c>
      <c r="Q128" s="55" t="s">
        <v>37</v>
      </c>
      <c r="R128" s="54" t="s">
        <v>85</v>
      </c>
      <c r="S128" s="54" t="s">
        <v>669</v>
      </c>
    </row>
    <row r="129" spans="1:19" ht="18" customHeight="1">
      <c r="A129" s="54" t="s">
        <v>775</v>
      </c>
      <c r="B129" s="55" t="s">
        <v>768</v>
      </c>
      <c r="C129" s="55" t="s">
        <v>776</v>
      </c>
      <c r="D129" s="10" t="s">
        <v>45</v>
      </c>
      <c r="E129" s="55" t="s">
        <v>777</v>
      </c>
      <c r="F129" s="55" t="s">
        <v>778</v>
      </c>
      <c r="G129" s="55" t="s">
        <v>779</v>
      </c>
      <c r="H129" s="55" t="s">
        <v>779</v>
      </c>
      <c r="I129" s="55" t="s">
        <v>780</v>
      </c>
      <c r="J129" s="56">
        <v>20</v>
      </c>
      <c r="K129" s="57">
        <f t="shared" si="3"/>
        <v>1</v>
      </c>
      <c r="L129" s="57">
        <v>20</v>
      </c>
      <c r="M129" s="57">
        <v>3.5</v>
      </c>
      <c r="N129" s="58">
        <f t="shared" si="4"/>
        <v>5.7142857142857144</v>
      </c>
      <c r="O129" s="59">
        <v>94.56</v>
      </c>
      <c r="P129" s="60">
        <f t="shared" si="5"/>
        <v>540.34285714285716</v>
      </c>
      <c r="Q129" s="55" t="s">
        <v>27</v>
      </c>
      <c r="R129" s="54" t="s">
        <v>28</v>
      </c>
      <c r="S129" s="54" t="s">
        <v>781</v>
      </c>
    </row>
    <row r="130" spans="1:19" ht="18" customHeight="1">
      <c r="A130" s="54" t="s">
        <v>782</v>
      </c>
      <c r="B130" s="55" t="s">
        <v>768</v>
      </c>
      <c r="C130" s="55" t="s">
        <v>783</v>
      </c>
      <c r="D130" s="10" t="s">
        <v>45</v>
      </c>
      <c r="E130" s="55" t="s">
        <v>784</v>
      </c>
      <c r="F130" s="55" t="s">
        <v>785</v>
      </c>
      <c r="G130" s="55" t="s">
        <v>786</v>
      </c>
      <c r="H130" s="55" t="s">
        <v>786</v>
      </c>
      <c r="I130" s="55" t="s">
        <v>787</v>
      </c>
      <c r="J130" s="56">
        <v>20</v>
      </c>
      <c r="K130" s="57">
        <f t="shared" ref="K130:K193" si="6">J130/L130</f>
        <v>1</v>
      </c>
      <c r="L130" s="57">
        <v>20</v>
      </c>
      <c r="M130" s="57">
        <v>3.5</v>
      </c>
      <c r="N130" s="58">
        <f t="shared" ref="N130:N193" si="7">J130/M130</f>
        <v>5.7142857142857144</v>
      </c>
      <c r="O130" s="59">
        <v>94.56</v>
      </c>
      <c r="P130" s="60">
        <f t="shared" ref="P130:P193" si="8">N130*O130</f>
        <v>540.34285714285716</v>
      </c>
      <c r="Q130" s="55" t="s">
        <v>37</v>
      </c>
      <c r="R130" s="54" t="s">
        <v>28</v>
      </c>
      <c r="S130" s="54" t="s">
        <v>781</v>
      </c>
    </row>
    <row r="131" spans="1:19" ht="18" customHeight="1">
      <c r="A131" s="54" t="s">
        <v>788</v>
      </c>
      <c r="B131" s="55" t="s">
        <v>768</v>
      </c>
      <c r="C131" s="55" t="s">
        <v>789</v>
      </c>
      <c r="D131" s="10" t="s">
        <v>45</v>
      </c>
      <c r="E131" s="55" t="s">
        <v>790</v>
      </c>
      <c r="F131" s="55" t="s">
        <v>791</v>
      </c>
      <c r="G131" s="55" t="s">
        <v>792</v>
      </c>
      <c r="H131" s="55" t="s">
        <v>792</v>
      </c>
      <c r="I131" s="55" t="s">
        <v>793</v>
      </c>
      <c r="J131" s="56">
        <v>12</v>
      </c>
      <c r="K131" s="57">
        <f t="shared" si="6"/>
        <v>0.6</v>
      </c>
      <c r="L131" s="57">
        <v>20</v>
      </c>
      <c r="M131" s="57">
        <v>3.5</v>
      </c>
      <c r="N131" s="58">
        <f t="shared" si="7"/>
        <v>3.4285714285714284</v>
      </c>
      <c r="O131" s="59">
        <v>94.56</v>
      </c>
      <c r="P131" s="60">
        <f t="shared" si="8"/>
        <v>324.20571428571429</v>
      </c>
      <c r="Q131" s="55" t="s">
        <v>27</v>
      </c>
      <c r="R131" s="54" t="s">
        <v>28</v>
      </c>
      <c r="S131" s="54" t="s">
        <v>781</v>
      </c>
    </row>
    <row r="132" spans="1:19" ht="18" customHeight="1">
      <c r="A132" s="54" t="s">
        <v>794</v>
      </c>
      <c r="B132" s="55" t="s">
        <v>768</v>
      </c>
      <c r="C132" s="55" t="s">
        <v>795</v>
      </c>
      <c r="D132" s="15" t="s">
        <v>519</v>
      </c>
      <c r="E132" s="55" t="s">
        <v>796</v>
      </c>
      <c r="F132" s="55" t="s">
        <v>797</v>
      </c>
      <c r="G132" s="55" t="s">
        <v>798</v>
      </c>
      <c r="H132" s="55" t="s">
        <v>799</v>
      </c>
      <c r="I132" s="55" t="s">
        <v>800</v>
      </c>
      <c r="J132" s="56">
        <v>135</v>
      </c>
      <c r="K132" s="57">
        <f t="shared" si="6"/>
        <v>1.6875</v>
      </c>
      <c r="L132" s="57">
        <v>80</v>
      </c>
      <c r="M132" s="57">
        <v>5</v>
      </c>
      <c r="N132" s="58">
        <f t="shared" si="7"/>
        <v>27</v>
      </c>
      <c r="O132" s="59">
        <v>94.56</v>
      </c>
      <c r="P132" s="60">
        <f t="shared" si="8"/>
        <v>2553.12</v>
      </c>
      <c r="Q132" s="55" t="s">
        <v>37</v>
      </c>
      <c r="R132" s="54" t="s">
        <v>85</v>
      </c>
      <c r="S132" s="54" t="s">
        <v>693</v>
      </c>
    </row>
    <row r="133" spans="1:19" ht="18" customHeight="1">
      <c r="A133" s="54" t="s">
        <v>801</v>
      </c>
      <c r="B133" s="55" t="s">
        <v>768</v>
      </c>
      <c r="C133" s="55" t="s">
        <v>802</v>
      </c>
      <c r="D133" s="12" t="s">
        <v>67</v>
      </c>
      <c r="E133" s="55" t="s">
        <v>803</v>
      </c>
      <c r="F133" s="55" t="s">
        <v>804</v>
      </c>
      <c r="G133" s="55" t="s">
        <v>805</v>
      </c>
      <c r="H133" s="55" t="s">
        <v>805</v>
      </c>
      <c r="I133" s="55" t="s">
        <v>806</v>
      </c>
      <c r="J133" s="56">
        <v>30</v>
      </c>
      <c r="K133" s="57">
        <f t="shared" si="6"/>
        <v>0.75</v>
      </c>
      <c r="L133" s="57">
        <v>40</v>
      </c>
      <c r="M133" s="57">
        <v>3.5</v>
      </c>
      <c r="N133" s="58">
        <f t="shared" si="7"/>
        <v>8.5714285714285712</v>
      </c>
      <c r="O133" s="59">
        <v>94.56</v>
      </c>
      <c r="P133" s="60">
        <f t="shared" si="8"/>
        <v>810.51428571428573</v>
      </c>
      <c r="Q133" s="55" t="s">
        <v>27</v>
      </c>
      <c r="R133" s="54" t="s">
        <v>28</v>
      </c>
      <c r="S133" s="54" t="s">
        <v>72</v>
      </c>
    </row>
    <row r="134" spans="1:19" ht="18" customHeight="1">
      <c r="A134" s="54" t="s">
        <v>807</v>
      </c>
      <c r="B134" s="55" t="s">
        <v>768</v>
      </c>
      <c r="C134" s="55" t="s">
        <v>808</v>
      </c>
      <c r="D134" s="12" t="s">
        <v>67</v>
      </c>
      <c r="E134" s="55" t="s">
        <v>797</v>
      </c>
      <c r="F134" s="55" t="s">
        <v>809</v>
      </c>
      <c r="G134" s="55" t="s">
        <v>810</v>
      </c>
      <c r="H134" s="55" t="s">
        <v>797</v>
      </c>
      <c r="I134" s="55" t="s">
        <v>811</v>
      </c>
      <c r="J134" s="56">
        <v>25</v>
      </c>
      <c r="K134" s="57">
        <f t="shared" si="6"/>
        <v>0.625</v>
      </c>
      <c r="L134" s="57">
        <v>40</v>
      </c>
      <c r="M134" s="57">
        <v>3.5</v>
      </c>
      <c r="N134" s="58">
        <f t="shared" si="7"/>
        <v>7.1428571428571432</v>
      </c>
      <c r="O134" s="59">
        <v>94.56</v>
      </c>
      <c r="P134" s="60">
        <f t="shared" si="8"/>
        <v>675.42857142857144</v>
      </c>
      <c r="Q134" s="55" t="s">
        <v>27</v>
      </c>
      <c r="R134" s="54" t="s">
        <v>28</v>
      </c>
      <c r="S134" s="54" t="s">
        <v>72</v>
      </c>
    </row>
    <row r="135" spans="1:19" ht="18" customHeight="1">
      <c r="A135" s="54" t="s">
        <v>812</v>
      </c>
      <c r="B135" s="55" t="s">
        <v>768</v>
      </c>
      <c r="C135" s="55" t="s">
        <v>813</v>
      </c>
      <c r="D135" s="13" t="s">
        <v>81</v>
      </c>
      <c r="E135" s="55" t="s">
        <v>770</v>
      </c>
      <c r="F135" s="55" t="s">
        <v>814</v>
      </c>
      <c r="G135" s="55" t="s">
        <v>815</v>
      </c>
      <c r="H135" s="55" t="s">
        <v>816</v>
      </c>
      <c r="I135" s="55" t="s">
        <v>817</v>
      </c>
      <c r="J135" s="56">
        <v>210</v>
      </c>
      <c r="K135" s="57">
        <f t="shared" si="6"/>
        <v>4.2</v>
      </c>
      <c r="L135" s="57">
        <v>50</v>
      </c>
      <c r="M135" s="57">
        <v>4.5</v>
      </c>
      <c r="N135" s="58">
        <f t="shared" si="7"/>
        <v>46.666666666666664</v>
      </c>
      <c r="O135" s="59">
        <v>94.56</v>
      </c>
      <c r="P135" s="60">
        <f t="shared" si="8"/>
        <v>4412.8</v>
      </c>
      <c r="Q135" s="55" t="s">
        <v>37</v>
      </c>
      <c r="R135" s="54" t="s">
        <v>85</v>
      </c>
      <c r="S135" s="54" t="s">
        <v>86</v>
      </c>
    </row>
    <row r="136" spans="1:19" ht="18" customHeight="1">
      <c r="A136" s="54" t="s">
        <v>818</v>
      </c>
      <c r="B136" s="55" t="s">
        <v>768</v>
      </c>
      <c r="C136" s="55" t="s">
        <v>819</v>
      </c>
      <c r="D136" s="13" t="s">
        <v>81</v>
      </c>
      <c r="E136" s="55" t="s">
        <v>770</v>
      </c>
      <c r="F136" s="55" t="s">
        <v>820</v>
      </c>
      <c r="G136" s="55" t="s">
        <v>821</v>
      </c>
      <c r="H136" s="55" t="s">
        <v>822</v>
      </c>
      <c r="I136" s="55" t="s">
        <v>811</v>
      </c>
      <c r="J136" s="56">
        <v>80</v>
      </c>
      <c r="K136" s="57">
        <f t="shared" si="6"/>
        <v>1.6</v>
      </c>
      <c r="L136" s="57">
        <v>50</v>
      </c>
      <c r="M136" s="57">
        <v>4.5</v>
      </c>
      <c r="N136" s="58">
        <f t="shared" si="7"/>
        <v>17.777777777777779</v>
      </c>
      <c r="O136" s="59">
        <v>94.56</v>
      </c>
      <c r="P136" s="60">
        <f t="shared" si="8"/>
        <v>1681.0666666666668</v>
      </c>
      <c r="Q136" s="55" t="s">
        <v>37</v>
      </c>
      <c r="R136" s="54" t="s">
        <v>85</v>
      </c>
      <c r="S136" s="54" t="s">
        <v>86</v>
      </c>
    </row>
    <row r="137" spans="1:19" ht="18" customHeight="1">
      <c r="A137" s="54" t="s">
        <v>823</v>
      </c>
      <c r="B137" s="55" t="s">
        <v>768</v>
      </c>
      <c r="C137" s="55" t="s">
        <v>824</v>
      </c>
      <c r="D137" s="13" t="s">
        <v>81</v>
      </c>
      <c r="E137" s="55" t="s">
        <v>770</v>
      </c>
      <c r="F137" s="55" t="s">
        <v>825</v>
      </c>
      <c r="G137" s="55" t="s">
        <v>825</v>
      </c>
      <c r="H137" s="55" t="s">
        <v>826</v>
      </c>
      <c r="I137" s="55" t="s">
        <v>827</v>
      </c>
      <c r="J137" s="56">
        <v>30</v>
      </c>
      <c r="K137" s="57">
        <f t="shared" si="6"/>
        <v>0.6</v>
      </c>
      <c r="L137" s="57">
        <v>50</v>
      </c>
      <c r="M137" s="57">
        <v>4.5</v>
      </c>
      <c r="N137" s="58">
        <f t="shared" si="7"/>
        <v>6.666666666666667</v>
      </c>
      <c r="O137" s="59">
        <v>94.56</v>
      </c>
      <c r="P137" s="60">
        <f t="shared" si="8"/>
        <v>630.40000000000009</v>
      </c>
      <c r="Q137" s="55" t="s">
        <v>37</v>
      </c>
      <c r="R137" s="54" t="s">
        <v>85</v>
      </c>
      <c r="S137" s="54" t="s">
        <v>86</v>
      </c>
    </row>
    <row r="138" spans="1:19" ht="18" customHeight="1">
      <c r="A138" s="54" t="s">
        <v>828</v>
      </c>
      <c r="B138" s="55" t="s">
        <v>768</v>
      </c>
      <c r="C138" s="55" t="s">
        <v>829</v>
      </c>
      <c r="D138" s="13" t="s">
        <v>81</v>
      </c>
      <c r="E138" s="55" t="s">
        <v>771</v>
      </c>
      <c r="F138" s="55" t="s">
        <v>792</v>
      </c>
      <c r="G138" s="55" t="s">
        <v>830</v>
      </c>
      <c r="H138" s="55" t="s">
        <v>831</v>
      </c>
      <c r="I138" s="55" t="s">
        <v>832</v>
      </c>
      <c r="J138" s="56">
        <v>210</v>
      </c>
      <c r="K138" s="57">
        <f t="shared" si="6"/>
        <v>4.2</v>
      </c>
      <c r="L138" s="57">
        <v>50</v>
      </c>
      <c r="M138" s="57">
        <v>4.5</v>
      </c>
      <c r="N138" s="58">
        <f t="shared" si="7"/>
        <v>46.666666666666664</v>
      </c>
      <c r="O138" s="59">
        <v>94.56</v>
      </c>
      <c r="P138" s="60">
        <f t="shared" si="8"/>
        <v>4412.8</v>
      </c>
      <c r="Q138" s="55" t="s">
        <v>37</v>
      </c>
      <c r="R138" s="54" t="s">
        <v>85</v>
      </c>
      <c r="S138" s="54" t="s">
        <v>86</v>
      </c>
    </row>
    <row r="139" spans="1:19" ht="18" customHeight="1">
      <c r="A139" s="54" t="s">
        <v>833</v>
      </c>
      <c r="B139" s="55" t="s">
        <v>768</v>
      </c>
      <c r="C139" s="55" t="s">
        <v>834</v>
      </c>
      <c r="D139" s="13" t="s">
        <v>81</v>
      </c>
      <c r="E139" s="55" t="s">
        <v>835</v>
      </c>
      <c r="F139" s="55" t="s">
        <v>820</v>
      </c>
      <c r="G139" s="55" t="s">
        <v>836</v>
      </c>
      <c r="H139" s="55" t="s">
        <v>836</v>
      </c>
      <c r="I139" s="55" t="s">
        <v>832</v>
      </c>
      <c r="J139" s="56">
        <v>90</v>
      </c>
      <c r="K139" s="57">
        <f t="shared" si="6"/>
        <v>1.8</v>
      </c>
      <c r="L139" s="57">
        <v>50</v>
      </c>
      <c r="M139" s="57">
        <v>4.5</v>
      </c>
      <c r="N139" s="58">
        <f t="shared" si="7"/>
        <v>20</v>
      </c>
      <c r="O139" s="59">
        <v>94.56</v>
      </c>
      <c r="P139" s="60">
        <f t="shared" si="8"/>
        <v>1891.2</v>
      </c>
      <c r="Q139" s="55" t="s">
        <v>37</v>
      </c>
      <c r="R139" s="54" t="s">
        <v>85</v>
      </c>
      <c r="S139" s="54" t="s">
        <v>86</v>
      </c>
    </row>
    <row r="140" spans="1:19" ht="18" customHeight="1">
      <c r="A140" s="54" t="s">
        <v>837</v>
      </c>
      <c r="B140" s="55" t="s">
        <v>768</v>
      </c>
      <c r="C140" s="55" t="s">
        <v>838</v>
      </c>
      <c r="D140" s="11" t="s">
        <v>59</v>
      </c>
      <c r="E140" s="55" t="s">
        <v>839</v>
      </c>
      <c r="F140" s="55" t="s">
        <v>840</v>
      </c>
      <c r="G140" s="55" t="s">
        <v>841</v>
      </c>
      <c r="H140" s="55" t="s">
        <v>839</v>
      </c>
      <c r="I140" s="55" t="s">
        <v>842</v>
      </c>
      <c r="J140" s="56">
        <v>45</v>
      </c>
      <c r="K140" s="57">
        <f t="shared" si="6"/>
        <v>1.8</v>
      </c>
      <c r="L140" s="57">
        <v>25</v>
      </c>
      <c r="M140" s="57">
        <v>3</v>
      </c>
      <c r="N140" s="58">
        <f t="shared" si="7"/>
        <v>15</v>
      </c>
      <c r="O140" s="59">
        <v>94.56</v>
      </c>
      <c r="P140" s="60">
        <f t="shared" si="8"/>
        <v>1418.4</v>
      </c>
      <c r="Q140" s="55" t="s">
        <v>64</v>
      </c>
      <c r="R140" s="54" t="s">
        <v>28</v>
      </c>
      <c r="S140" s="54" t="s">
        <v>524</v>
      </c>
    </row>
    <row r="141" spans="1:19" ht="18" customHeight="1">
      <c r="A141" s="54" t="s">
        <v>843</v>
      </c>
      <c r="B141" s="55" t="s">
        <v>768</v>
      </c>
      <c r="C141" s="55" t="s">
        <v>844</v>
      </c>
      <c r="D141" s="4" t="s">
        <v>22</v>
      </c>
      <c r="E141" s="55" t="s">
        <v>845</v>
      </c>
      <c r="F141" s="55" t="s">
        <v>846</v>
      </c>
      <c r="G141" s="55" t="s">
        <v>847</v>
      </c>
      <c r="H141" s="55" t="s">
        <v>847</v>
      </c>
      <c r="I141" s="55" t="s">
        <v>848</v>
      </c>
      <c r="J141" s="56">
        <v>65</v>
      </c>
      <c r="K141" s="57">
        <f t="shared" si="6"/>
        <v>1.4444444444444444</v>
      </c>
      <c r="L141" s="57">
        <v>45</v>
      </c>
      <c r="M141" s="57">
        <v>4</v>
      </c>
      <c r="N141" s="58">
        <f t="shared" si="7"/>
        <v>16.25</v>
      </c>
      <c r="O141" s="59">
        <v>94.56</v>
      </c>
      <c r="P141" s="60">
        <f t="shared" si="8"/>
        <v>1536.6000000000001</v>
      </c>
      <c r="Q141" s="55" t="s">
        <v>37</v>
      </c>
      <c r="R141" s="54" t="s">
        <v>28</v>
      </c>
      <c r="S141" s="54" t="s">
        <v>125</v>
      </c>
    </row>
    <row r="142" spans="1:19" ht="18" customHeight="1">
      <c r="A142" s="54" t="s">
        <v>849</v>
      </c>
      <c r="B142" s="55" t="s">
        <v>768</v>
      </c>
      <c r="C142" s="55" t="s">
        <v>850</v>
      </c>
      <c r="D142" s="4" t="s">
        <v>22</v>
      </c>
      <c r="E142" s="55" t="s">
        <v>835</v>
      </c>
      <c r="F142" s="55" t="s">
        <v>792</v>
      </c>
      <c r="G142" s="55" t="s">
        <v>851</v>
      </c>
      <c r="H142" s="55" t="s">
        <v>851</v>
      </c>
      <c r="I142" s="55" t="s">
        <v>806</v>
      </c>
      <c r="J142" s="56">
        <v>130</v>
      </c>
      <c r="K142" s="57">
        <f t="shared" si="6"/>
        <v>2.8888888888888888</v>
      </c>
      <c r="L142" s="57">
        <v>45</v>
      </c>
      <c r="M142" s="57">
        <v>4</v>
      </c>
      <c r="N142" s="58">
        <f t="shared" si="7"/>
        <v>32.5</v>
      </c>
      <c r="O142" s="59">
        <v>94.56</v>
      </c>
      <c r="P142" s="60">
        <f t="shared" si="8"/>
        <v>3073.2000000000003</v>
      </c>
      <c r="Q142" s="55" t="s">
        <v>27</v>
      </c>
      <c r="R142" s="54" t="s">
        <v>28</v>
      </c>
      <c r="S142" s="54" t="s">
        <v>125</v>
      </c>
    </row>
    <row r="143" spans="1:19" ht="18" customHeight="1">
      <c r="A143" s="54" t="s">
        <v>852</v>
      </c>
      <c r="B143" s="55" t="s">
        <v>768</v>
      </c>
      <c r="C143" s="55" t="s">
        <v>853</v>
      </c>
      <c r="D143" s="4" t="s">
        <v>22</v>
      </c>
      <c r="E143" s="55" t="s">
        <v>854</v>
      </c>
      <c r="F143" s="55" t="s">
        <v>855</v>
      </c>
      <c r="G143" s="55" t="s">
        <v>856</v>
      </c>
      <c r="H143" s="55" t="s">
        <v>856</v>
      </c>
      <c r="I143" s="55" t="s">
        <v>832</v>
      </c>
      <c r="J143" s="56">
        <v>55</v>
      </c>
      <c r="K143" s="57">
        <f t="shared" si="6"/>
        <v>1.2222222222222223</v>
      </c>
      <c r="L143" s="57">
        <v>45</v>
      </c>
      <c r="M143" s="57">
        <v>4</v>
      </c>
      <c r="N143" s="58">
        <f t="shared" si="7"/>
        <v>13.75</v>
      </c>
      <c r="O143" s="59">
        <v>94.56</v>
      </c>
      <c r="P143" s="60">
        <f t="shared" si="8"/>
        <v>1300.2</v>
      </c>
      <c r="Q143" s="55" t="s">
        <v>27</v>
      </c>
      <c r="R143" s="54" t="s">
        <v>28</v>
      </c>
      <c r="S143" s="54" t="s">
        <v>125</v>
      </c>
    </row>
    <row r="144" spans="1:19" ht="18" customHeight="1">
      <c r="A144" s="54" t="s">
        <v>857</v>
      </c>
      <c r="B144" s="55" t="s">
        <v>768</v>
      </c>
      <c r="C144" s="55" t="s">
        <v>858</v>
      </c>
      <c r="D144" s="11" t="s">
        <v>59</v>
      </c>
      <c r="E144" s="55" t="s">
        <v>859</v>
      </c>
      <c r="F144" s="55" t="s">
        <v>839</v>
      </c>
      <c r="G144" s="55" t="s">
        <v>860</v>
      </c>
      <c r="H144" s="55" t="s">
        <v>839</v>
      </c>
      <c r="I144" s="55" t="s">
        <v>842</v>
      </c>
      <c r="J144" s="56">
        <v>20</v>
      </c>
      <c r="K144" s="57">
        <f t="shared" si="6"/>
        <v>0.8</v>
      </c>
      <c r="L144" s="57">
        <v>25</v>
      </c>
      <c r="M144" s="57">
        <v>3</v>
      </c>
      <c r="N144" s="58">
        <f t="shared" si="7"/>
        <v>6.666666666666667</v>
      </c>
      <c r="O144" s="59">
        <v>94.56</v>
      </c>
      <c r="P144" s="60">
        <f t="shared" si="8"/>
        <v>630.40000000000009</v>
      </c>
      <c r="Q144" s="55" t="s">
        <v>64</v>
      </c>
      <c r="R144" s="54" t="s">
        <v>28</v>
      </c>
      <c r="S144" s="54" t="s">
        <v>138</v>
      </c>
    </row>
    <row r="145" spans="1:19" ht="18" customHeight="1">
      <c r="A145" s="54" t="s">
        <v>861</v>
      </c>
      <c r="B145" s="55" t="s">
        <v>768</v>
      </c>
      <c r="C145" s="55" t="s">
        <v>862</v>
      </c>
      <c r="D145" s="11" t="s">
        <v>59</v>
      </c>
      <c r="E145" s="55" t="s">
        <v>863</v>
      </c>
      <c r="F145" s="55" t="s">
        <v>864</v>
      </c>
      <c r="G145" s="55" t="s">
        <v>865</v>
      </c>
      <c r="H145" s="55" t="s">
        <v>863</v>
      </c>
      <c r="I145" s="55" t="s">
        <v>827</v>
      </c>
      <c r="J145" s="56">
        <v>40</v>
      </c>
      <c r="K145" s="57">
        <f t="shared" si="6"/>
        <v>1.6</v>
      </c>
      <c r="L145" s="57">
        <v>25</v>
      </c>
      <c r="M145" s="57">
        <v>3</v>
      </c>
      <c r="N145" s="58">
        <f t="shared" si="7"/>
        <v>13.333333333333334</v>
      </c>
      <c r="O145" s="59">
        <v>94.56</v>
      </c>
      <c r="P145" s="60">
        <f t="shared" si="8"/>
        <v>1260.8000000000002</v>
      </c>
      <c r="Q145" s="55" t="s">
        <v>27</v>
      </c>
      <c r="R145" s="54" t="s">
        <v>28</v>
      </c>
      <c r="S145" s="54" t="s">
        <v>138</v>
      </c>
    </row>
    <row r="146" spans="1:19" ht="18" customHeight="1">
      <c r="A146" s="61" t="s">
        <v>866</v>
      </c>
      <c r="B146" s="62" t="s">
        <v>867</v>
      </c>
      <c r="C146" s="62" t="s">
        <v>868</v>
      </c>
      <c r="D146" s="12" t="s">
        <v>67</v>
      </c>
      <c r="E146" s="62" t="s">
        <v>869</v>
      </c>
      <c r="F146" s="62" t="s">
        <v>870</v>
      </c>
      <c r="G146" s="62" t="s">
        <v>871</v>
      </c>
      <c r="H146" s="62" t="s">
        <v>869</v>
      </c>
      <c r="I146" s="62" t="s">
        <v>872</v>
      </c>
      <c r="J146" s="63">
        <v>30</v>
      </c>
      <c r="K146" s="64">
        <f t="shared" si="6"/>
        <v>0.75</v>
      </c>
      <c r="L146" s="64">
        <v>40</v>
      </c>
      <c r="M146" s="64">
        <v>3.5</v>
      </c>
      <c r="N146" s="65">
        <f t="shared" si="7"/>
        <v>8.5714285714285712</v>
      </c>
      <c r="O146" s="66">
        <v>94.56</v>
      </c>
      <c r="P146" s="67">
        <f t="shared" si="8"/>
        <v>810.51428571428573</v>
      </c>
      <c r="Q146" s="62" t="s">
        <v>27</v>
      </c>
      <c r="R146" s="61" t="s">
        <v>28</v>
      </c>
      <c r="S146" s="61" t="s">
        <v>781</v>
      </c>
    </row>
    <row r="147" spans="1:19" ht="18" customHeight="1">
      <c r="A147" s="61" t="s">
        <v>873</v>
      </c>
      <c r="B147" s="62" t="s">
        <v>867</v>
      </c>
      <c r="C147" s="62" t="s">
        <v>874</v>
      </c>
      <c r="D147" s="4" t="s">
        <v>22</v>
      </c>
      <c r="E147" s="62" t="s">
        <v>875</v>
      </c>
      <c r="F147" s="62" t="s">
        <v>876</v>
      </c>
      <c r="G147" s="62" t="s">
        <v>877</v>
      </c>
      <c r="H147" s="62" t="s">
        <v>878</v>
      </c>
      <c r="I147" s="62" t="s">
        <v>879</v>
      </c>
      <c r="J147" s="63">
        <v>135</v>
      </c>
      <c r="K147" s="64">
        <f t="shared" si="6"/>
        <v>3</v>
      </c>
      <c r="L147" s="64">
        <v>45</v>
      </c>
      <c r="M147" s="64">
        <v>4</v>
      </c>
      <c r="N147" s="65">
        <f t="shared" si="7"/>
        <v>33.75</v>
      </c>
      <c r="O147" s="66">
        <v>94.56</v>
      </c>
      <c r="P147" s="67">
        <f t="shared" si="8"/>
        <v>3191.4</v>
      </c>
      <c r="Q147" s="62" t="s">
        <v>27</v>
      </c>
      <c r="R147" s="61" t="s">
        <v>28</v>
      </c>
      <c r="S147" s="61" t="s">
        <v>781</v>
      </c>
    </row>
    <row r="148" spans="1:19" ht="18" customHeight="1">
      <c r="A148" s="61" t="s">
        <v>880</v>
      </c>
      <c r="B148" s="62" t="s">
        <v>867</v>
      </c>
      <c r="C148" s="62" t="s">
        <v>881</v>
      </c>
      <c r="D148" s="4" t="s">
        <v>22</v>
      </c>
      <c r="E148" s="62" t="s">
        <v>882</v>
      </c>
      <c r="F148" s="62" t="s">
        <v>883</v>
      </c>
      <c r="G148" s="62" t="s">
        <v>884</v>
      </c>
      <c r="H148" s="62" t="s">
        <v>882</v>
      </c>
      <c r="I148" s="62" t="s">
        <v>885</v>
      </c>
      <c r="J148" s="63">
        <v>65</v>
      </c>
      <c r="K148" s="64">
        <f t="shared" si="6"/>
        <v>1.4444444444444444</v>
      </c>
      <c r="L148" s="64">
        <v>45</v>
      </c>
      <c r="M148" s="64">
        <v>4</v>
      </c>
      <c r="N148" s="65">
        <f t="shared" si="7"/>
        <v>16.25</v>
      </c>
      <c r="O148" s="66">
        <v>94.56</v>
      </c>
      <c r="P148" s="67">
        <f t="shared" si="8"/>
        <v>1536.6000000000001</v>
      </c>
      <c r="Q148" s="62" t="s">
        <v>64</v>
      </c>
      <c r="R148" s="61" t="s">
        <v>28</v>
      </c>
      <c r="S148" s="61" t="s">
        <v>781</v>
      </c>
    </row>
    <row r="149" spans="1:19" ht="18" customHeight="1">
      <c r="A149" s="61" t="s">
        <v>886</v>
      </c>
      <c r="B149" s="62" t="s">
        <v>867</v>
      </c>
      <c r="C149" s="62" t="s">
        <v>887</v>
      </c>
      <c r="D149" s="4" t="s">
        <v>22</v>
      </c>
      <c r="E149" s="62" t="s">
        <v>888</v>
      </c>
      <c r="F149" s="62" t="s">
        <v>889</v>
      </c>
      <c r="G149" s="62" t="s">
        <v>890</v>
      </c>
      <c r="H149" s="62" t="s">
        <v>890</v>
      </c>
      <c r="I149" s="62" t="s">
        <v>891</v>
      </c>
      <c r="J149" s="63">
        <v>55</v>
      </c>
      <c r="K149" s="64">
        <f t="shared" si="6"/>
        <v>1.2222222222222223</v>
      </c>
      <c r="L149" s="64">
        <v>45</v>
      </c>
      <c r="M149" s="64">
        <v>4</v>
      </c>
      <c r="N149" s="65">
        <f t="shared" si="7"/>
        <v>13.75</v>
      </c>
      <c r="O149" s="66">
        <v>94.56</v>
      </c>
      <c r="P149" s="67">
        <f t="shared" si="8"/>
        <v>1300.2</v>
      </c>
      <c r="Q149" s="62" t="s">
        <v>37</v>
      </c>
      <c r="R149" s="61" t="s">
        <v>28</v>
      </c>
      <c r="S149" s="61" t="s">
        <v>781</v>
      </c>
    </row>
    <row r="150" spans="1:19" ht="18" customHeight="1">
      <c r="A150" s="61" t="s">
        <v>892</v>
      </c>
      <c r="B150" s="62" t="s">
        <v>867</v>
      </c>
      <c r="C150" s="62" t="s">
        <v>893</v>
      </c>
      <c r="D150" s="10" t="s">
        <v>45</v>
      </c>
      <c r="E150" s="62" t="s">
        <v>894</v>
      </c>
      <c r="F150" s="62" t="s">
        <v>895</v>
      </c>
      <c r="G150" s="62" t="s">
        <v>896</v>
      </c>
      <c r="H150" s="62" t="s">
        <v>896</v>
      </c>
      <c r="I150" s="62" t="s">
        <v>897</v>
      </c>
      <c r="J150" s="63">
        <v>5</v>
      </c>
      <c r="K150" s="64">
        <f t="shared" si="6"/>
        <v>0.25</v>
      </c>
      <c r="L150" s="64">
        <v>20</v>
      </c>
      <c r="M150" s="64">
        <v>3.5</v>
      </c>
      <c r="N150" s="65">
        <f t="shared" si="7"/>
        <v>1.4285714285714286</v>
      </c>
      <c r="O150" s="66">
        <v>94.56</v>
      </c>
      <c r="P150" s="67">
        <f t="shared" si="8"/>
        <v>135.08571428571429</v>
      </c>
      <c r="Q150" s="62" t="s">
        <v>37</v>
      </c>
      <c r="R150" s="61" t="s">
        <v>28</v>
      </c>
      <c r="S150" s="61" t="s">
        <v>781</v>
      </c>
    </row>
    <row r="151" spans="1:19" ht="18" customHeight="1">
      <c r="A151" s="61" t="s">
        <v>898</v>
      </c>
      <c r="B151" s="62" t="s">
        <v>867</v>
      </c>
      <c r="C151" s="62" t="s">
        <v>899</v>
      </c>
      <c r="D151" s="11" t="s">
        <v>59</v>
      </c>
      <c r="E151" s="62" t="s">
        <v>900</v>
      </c>
      <c r="F151" s="62" t="s">
        <v>901</v>
      </c>
      <c r="G151" s="62" t="s">
        <v>902</v>
      </c>
      <c r="H151" s="62" t="s">
        <v>903</v>
      </c>
      <c r="I151" s="62" t="s">
        <v>904</v>
      </c>
      <c r="J151" s="63">
        <v>50</v>
      </c>
      <c r="K151" s="64">
        <f t="shared" si="6"/>
        <v>2</v>
      </c>
      <c r="L151" s="64">
        <v>25</v>
      </c>
      <c r="M151" s="64">
        <v>3</v>
      </c>
      <c r="N151" s="65">
        <f t="shared" si="7"/>
        <v>16.666666666666668</v>
      </c>
      <c r="O151" s="66">
        <v>94.56</v>
      </c>
      <c r="P151" s="67">
        <f t="shared" si="8"/>
        <v>1576.0000000000002</v>
      </c>
      <c r="Q151" s="62" t="s">
        <v>64</v>
      </c>
      <c r="R151" s="61" t="s">
        <v>28</v>
      </c>
      <c r="S151" s="61" t="s">
        <v>781</v>
      </c>
    </row>
    <row r="152" spans="1:19" ht="18" customHeight="1">
      <c r="A152" s="61" t="s">
        <v>905</v>
      </c>
      <c r="B152" s="62" t="s">
        <v>867</v>
      </c>
      <c r="C152" s="62" t="s">
        <v>906</v>
      </c>
      <c r="D152" s="13" t="s">
        <v>81</v>
      </c>
      <c r="E152" s="62" t="s">
        <v>907</v>
      </c>
      <c r="F152" s="62" t="s">
        <v>908</v>
      </c>
      <c r="G152" s="62" t="s">
        <v>909</v>
      </c>
      <c r="H152" s="62" t="s">
        <v>910</v>
      </c>
      <c r="I152" s="62" t="s">
        <v>911</v>
      </c>
      <c r="J152" s="63">
        <v>250</v>
      </c>
      <c r="K152" s="64">
        <f t="shared" si="6"/>
        <v>5</v>
      </c>
      <c r="L152" s="64">
        <v>50</v>
      </c>
      <c r="M152" s="64">
        <v>4.5</v>
      </c>
      <c r="N152" s="65">
        <f t="shared" si="7"/>
        <v>55.555555555555557</v>
      </c>
      <c r="O152" s="66">
        <v>94.56</v>
      </c>
      <c r="P152" s="67">
        <f t="shared" si="8"/>
        <v>5253.3333333333339</v>
      </c>
      <c r="Q152" s="62" t="s">
        <v>64</v>
      </c>
      <c r="R152" s="61" t="s">
        <v>28</v>
      </c>
      <c r="S152" s="61" t="s">
        <v>72</v>
      </c>
    </row>
    <row r="153" spans="1:19" ht="18" customHeight="1">
      <c r="A153" s="61" t="s">
        <v>912</v>
      </c>
      <c r="B153" s="62" t="s">
        <v>867</v>
      </c>
      <c r="C153" s="62" t="s">
        <v>913</v>
      </c>
      <c r="D153" s="13" t="s">
        <v>81</v>
      </c>
      <c r="E153" s="62" t="s">
        <v>914</v>
      </c>
      <c r="F153" s="62" t="s">
        <v>907</v>
      </c>
      <c r="G153" s="62" t="s">
        <v>915</v>
      </c>
      <c r="H153" s="62" t="s">
        <v>916</v>
      </c>
      <c r="I153" s="62" t="s">
        <v>917</v>
      </c>
      <c r="J153" s="63">
        <v>310</v>
      </c>
      <c r="K153" s="64">
        <f t="shared" si="6"/>
        <v>6.2</v>
      </c>
      <c r="L153" s="64">
        <v>50</v>
      </c>
      <c r="M153" s="64">
        <v>4.5</v>
      </c>
      <c r="N153" s="65">
        <f t="shared" si="7"/>
        <v>68.888888888888886</v>
      </c>
      <c r="O153" s="66">
        <v>94.56</v>
      </c>
      <c r="P153" s="67">
        <f t="shared" si="8"/>
        <v>6514.1333333333332</v>
      </c>
      <c r="Q153" s="62" t="s">
        <v>27</v>
      </c>
      <c r="R153" s="61" t="s">
        <v>28</v>
      </c>
      <c r="S153" s="61" t="s">
        <v>86</v>
      </c>
    </row>
    <row r="154" spans="1:19" ht="18" customHeight="1">
      <c r="A154" s="61" t="s">
        <v>918</v>
      </c>
      <c r="B154" s="62" t="s">
        <v>867</v>
      </c>
      <c r="C154" s="62" t="s">
        <v>919</v>
      </c>
      <c r="D154" s="13" t="s">
        <v>81</v>
      </c>
      <c r="E154" s="62" t="s">
        <v>896</v>
      </c>
      <c r="F154" s="62" t="s">
        <v>920</v>
      </c>
      <c r="G154" s="62" t="s">
        <v>921</v>
      </c>
      <c r="H154" s="62" t="s">
        <v>922</v>
      </c>
      <c r="I154" s="62" t="s">
        <v>923</v>
      </c>
      <c r="J154" s="63">
        <v>285</v>
      </c>
      <c r="K154" s="64">
        <f t="shared" si="6"/>
        <v>5.7</v>
      </c>
      <c r="L154" s="64">
        <v>50</v>
      </c>
      <c r="M154" s="64">
        <v>4.5</v>
      </c>
      <c r="N154" s="65">
        <f t="shared" si="7"/>
        <v>63.333333333333336</v>
      </c>
      <c r="O154" s="66">
        <v>94.56</v>
      </c>
      <c r="P154" s="67">
        <f t="shared" si="8"/>
        <v>5988.8</v>
      </c>
      <c r="Q154" s="62" t="s">
        <v>64</v>
      </c>
      <c r="R154" s="61" t="s">
        <v>28</v>
      </c>
      <c r="S154" s="61" t="s">
        <v>86</v>
      </c>
    </row>
    <row r="155" spans="1:19" ht="18" customHeight="1">
      <c r="A155" s="61" t="s">
        <v>924</v>
      </c>
      <c r="B155" s="62" t="s">
        <v>867</v>
      </c>
      <c r="C155" s="62" t="s">
        <v>925</v>
      </c>
      <c r="D155" s="13" t="s">
        <v>81</v>
      </c>
      <c r="E155" s="62" t="s">
        <v>896</v>
      </c>
      <c r="F155" s="62" t="s">
        <v>907</v>
      </c>
      <c r="G155" s="62" t="s">
        <v>926</v>
      </c>
      <c r="H155" s="62" t="s">
        <v>927</v>
      </c>
      <c r="I155" s="62" t="s">
        <v>928</v>
      </c>
      <c r="J155" s="63">
        <v>255</v>
      </c>
      <c r="K155" s="64">
        <f t="shared" si="6"/>
        <v>5.0999999999999996</v>
      </c>
      <c r="L155" s="64">
        <v>50</v>
      </c>
      <c r="M155" s="64">
        <v>4.5</v>
      </c>
      <c r="N155" s="65">
        <f t="shared" si="7"/>
        <v>56.666666666666664</v>
      </c>
      <c r="O155" s="66">
        <v>94.56</v>
      </c>
      <c r="P155" s="67">
        <f t="shared" si="8"/>
        <v>5358.4</v>
      </c>
      <c r="Q155" s="62" t="s">
        <v>27</v>
      </c>
      <c r="R155" s="61" t="s">
        <v>28</v>
      </c>
      <c r="S155" s="61" t="s">
        <v>86</v>
      </c>
    </row>
    <row r="156" spans="1:19" ht="18" customHeight="1">
      <c r="A156" s="61" t="s">
        <v>929</v>
      </c>
      <c r="B156" s="62" t="s">
        <v>867</v>
      </c>
      <c r="C156" s="62" t="s">
        <v>930</v>
      </c>
      <c r="D156" s="13" t="s">
        <v>81</v>
      </c>
      <c r="E156" s="62" t="s">
        <v>914</v>
      </c>
      <c r="F156" s="62" t="s">
        <v>896</v>
      </c>
      <c r="G156" s="62" t="s">
        <v>931</v>
      </c>
      <c r="H156" s="62" t="s">
        <v>932</v>
      </c>
      <c r="I156" s="62" t="s">
        <v>891</v>
      </c>
      <c r="J156" s="63">
        <v>115</v>
      </c>
      <c r="K156" s="64">
        <f t="shared" si="6"/>
        <v>2.2999999999999998</v>
      </c>
      <c r="L156" s="64">
        <v>50</v>
      </c>
      <c r="M156" s="64">
        <v>4.5</v>
      </c>
      <c r="N156" s="65">
        <f t="shared" si="7"/>
        <v>25.555555555555557</v>
      </c>
      <c r="O156" s="66">
        <v>94.56</v>
      </c>
      <c r="P156" s="67">
        <f t="shared" si="8"/>
        <v>2416.5333333333338</v>
      </c>
      <c r="Q156" s="62" t="s">
        <v>37</v>
      </c>
      <c r="R156" s="61" t="s">
        <v>85</v>
      </c>
      <c r="S156" s="61" t="s">
        <v>86</v>
      </c>
    </row>
    <row r="157" spans="1:19" ht="18" customHeight="1">
      <c r="A157" s="61" t="s">
        <v>933</v>
      </c>
      <c r="B157" s="62" t="s">
        <v>867</v>
      </c>
      <c r="C157" s="62" t="s">
        <v>934</v>
      </c>
      <c r="D157" s="13" t="s">
        <v>81</v>
      </c>
      <c r="E157" s="62" t="s">
        <v>935</v>
      </c>
      <c r="F157" s="62" t="s">
        <v>936</v>
      </c>
      <c r="G157" s="62" t="s">
        <v>937</v>
      </c>
      <c r="H157" s="62" t="s">
        <v>938</v>
      </c>
      <c r="I157" s="62" t="s">
        <v>939</v>
      </c>
      <c r="J157" s="63">
        <v>115</v>
      </c>
      <c r="K157" s="64">
        <f t="shared" si="6"/>
        <v>2.2999999999999998</v>
      </c>
      <c r="L157" s="64">
        <v>50</v>
      </c>
      <c r="M157" s="64">
        <v>4.5</v>
      </c>
      <c r="N157" s="65">
        <f t="shared" si="7"/>
        <v>25.555555555555557</v>
      </c>
      <c r="O157" s="66">
        <v>94.56</v>
      </c>
      <c r="P157" s="67">
        <f t="shared" si="8"/>
        <v>2416.5333333333338</v>
      </c>
      <c r="Q157" s="62" t="s">
        <v>37</v>
      </c>
      <c r="R157" s="61" t="s">
        <v>85</v>
      </c>
      <c r="S157" s="61" t="s">
        <v>86</v>
      </c>
    </row>
    <row r="158" spans="1:19" ht="18" customHeight="1">
      <c r="A158" s="61" t="s">
        <v>940</v>
      </c>
      <c r="B158" s="62" t="s">
        <v>867</v>
      </c>
      <c r="C158" s="62" t="s">
        <v>941</v>
      </c>
      <c r="D158" s="11" t="s">
        <v>59</v>
      </c>
      <c r="E158" s="62" t="s">
        <v>942</v>
      </c>
      <c r="F158" s="62" t="s">
        <v>943</v>
      </c>
      <c r="G158" s="62" t="s">
        <v>944</v>
      </c>
      <c r="H158" s="62" t="s">
        <v>903</v>
      </c>
      <c r="I158" s="62" t="s">
        <v>945</v>
      </c>
      <c r="J158" s="63">
        <v>65</v>
      </c>
      <c r="K158" s="64">
        <f t="shared" si="6"/>
        <v>2.6</v>
      </c>
      <c r="L158" s="64">
        <v>25</v>
      </c>
      <c r="M158" s="64">
        <v>3</v>
      </c>
      <c r="N158" s="65">
        <f t="shared" si="7"/>
        <v>21.666666666666668</v>
      </c>
      <c r="O158" s="66">
        <v>94.56</v>
      </c>
      <c r="P158" s="67">
        <f t="shared" si="8"/>
        <v>2048.8000000000002</v>
      </c>
      <c r="Q158" s="62" t="s">
        <v>64</v>
      </c>
      <c r="R158" s="61" t="s">
        <v>28</v>
      </c>
      <c r="S158" s="61" t="s">
        <v>524</v>
      </c>
    </row>
    <row r="159" spans="1:19" ht="18" customHeight="1">
      <c r="A159" s="61" t="s">
        <v>946</v>
      </c>
      <c r="B159" s="62" t="s">
        <v>867</v>
      </c>
      <c r="C159" s="62" t="s">
        <v>947</v>
      </c>
      <c r="D159" s="11" t="s">
        <v>59</v>
      </c>
      <c r="E159" s="62" t="s">
        <v>948</v>
      </c>
      <c r="F159" s="62" t="s">
        <v>949</v>
      </c>
      <c r="G159" s="62" t="s">
        <v>950</v>
      </c>
      <c r="H159" s="62" t="s">
        <v>896</v>
      </c>
      <c r="I159" s="62" t="s">
        <v>951</v>
      </c>
      <c r="J159" s="63">
        <v>45</v>
      </c>
      <c r="K159" s="64">
        <f t="shared" si="6"/>
        <v>1.8</v>
      </c>
      <c r="L159" s="64">
        <v>25</v>
      </c>
      <c r="M159" s="64">
        <v>3</v>
      </c>
      <c r="N159" s="65">
        <f t="shared" si="7"/>
        <v>15</v>
      </c>
      <c r="O159" s="66">
        <v>94.56</v>
      </c>
      <c r="P159" s="67">
        <f t="shared" si="8"/>
        <v>1418.4</v>
      </c>
      <c r="Q159" s="62" t="s">
        <v>64</v>
      </c>
      <c r="R159" s="61" t="s">
        <v>28</v>
      </c>
      <c r="S159" s="61" t="s">
        <v>524</v>
      </c>
    </row>
    <row r="160" spans="1:19" ht="18" customHeight="1">
      <c r="A160" s="61" t="s">
        <v>952</v>
      </c>
      <c r="B160" s="62" t="s">
        <v>867</v>
      </c>
      <c r="C160" s="62" t="s">
        <v>953</v>
      </c>
      <c r="D160" s="4" t="s">
        <v>22</v>
      </c>
      <c r="E160" s="62" t="s">
        <v>954</v>
      </c>
      <c r="F160" s="62" t="s">
        <v>955</v>
      </c>
      <c r="G160" s="62" t="s">
        <v>956</v>
      </c>
      <c r="H160" s="62" t="s">
        <v>957</v>
      </c>
      <c r="I160" s="62" t="s">
        <v>891</v>
      </c>
      <c r="J160" s="63">
        <v>30</v>
      </c>
      <c r="K160" s="64">
        <f t="shared" si="6"/>
        <v>0.66666666666666663</v>
      </c>
      <c r="L160" s="64">
        <v>45</v>
      </c>
      <c r="M160" s="64">
        <v>4</v>
      </c>
      <c r="N160" s="65">
        <f t="shared" si="7"/>
        <v>7.5</v>
      </c>
      <c r="O160" s="66">
        <v>94.56</v>
      </c>
      <c r="P160" s="67">
        <f t="shared" si="8"/>
        <v>709.2</v>
      </c>
      <c r="Q160" s="62" t="s">
        <v>37</v>
      </c>
      <c r="R160" s="61" t="s">
        <v>28</v>
      </c>
      <c r="S160" s="61" t="s">
        <v>125</v>
      </c>
    </row>
    <row r="161" spans="1:19" ht="18" customHeight="1">
      <c r="A161" s="61" t="s">
        <v>958</v>
      </c>
      <c r="B161" s="62" t="s">
        <v>867</v>
      </c>
      <c r="C161" s="62" t="s">
        <v>959</v>
      </c>
      <c r="D161" s="11" t="s">
        <v>59</v>
      </c>
      <c r="E161" s="62" t="s">
        <v>960</v>
      </c>
      <c r="F161" s="62" t="s">
        <v>961</v>
      </c>
      <c r="G161" s="62" t="s">
        <v>962</v>
      </c>
      <c r="H161" s="62" t="s">
        <v>882</v>
      </c>
      <c r="I161" s="62" t="s">
        <v>963</v>
      </c>
      <c r="J161" s="63">
        <v>55</v>
      </c>
      <c r="K161" s="64">
        <f t="shared" si="6"/>
        <v>2.2000000000000002</v>
      </c>
      <c r="L161" s="64">
        <v>25</v>
      </c>
      <c r="M161" s="64">
        <v>3</v>
      </c>
      <c r="N161" s="65">
        <f t="shared" si="7"/>
        <v>18.333333333333332</v>
      </c>
      <c r="O161" s="66">
        <v>94.56</v>
      </c>
      <c r="P161" s="67">
        <f t="shared" si="8"/>
        <v>1733.6</v>
      </c>
      <c r="Q161" s="62" t="s">
        <v>64</v>
      </c>
      <c r="R161" s="61" t="s">
        <v>28</v>
      </c>
      <c r="S161" s="61" t="s">
        <v>138</v>
      </c>
    </row>
    <row r="162" spans="1:19" ht="18" customHeight="1">
      <c r="A162" s="61" t="s">
        <v>964</v>
      </c>
      <c r="B162" s="62" t="s">
        <v>867</v>
      </c>
      <c r="C162" s="62" t="s">
        <v>965</v>
      </c>
      <c r="D162" s="11" t="s">
        <v>59</v>
      </c>
      <c r="E162" s="62" t="s">
        <v>966</v>
      </c>
      <c r="F162" s="62" t="s">
        <v>967</v>
      </c>
      <c r="G162" s="62" t="s">
        <v>968</v>
      </c>
      <c r="H162" s="62" t="s">
        <v>969</v>
      </c>
      <c r="I162" s="62" t="s">
        <v>970</v>
      </c>
      <c r="J162" s="63">
        <v>50</v>
      </c>
      <c r="K162" s="64">
        <f t="shared" si="6"/>
        <v>2</v>
      </c>
      <c r="L162" s="64">
        <v>25</v>
      </c>
      <c r="M162" s="64">
        <v>3</v>
      </c>
      <c r="N162" s="65">
        <f t="shared" si="7"/>
        <v>16.666666666666668</v>
      </c>
      <c r="O162" s="66">
        <v>94.56</v>
      </c>
      <c r="P162" s="67">
        <f t="shared" si="8"/>
        <v>1576.0000000000002</v>
      </c>
      <c r="Q162" s="62" t="s">
        <v>64</v>
      </c>
      <c r="R162" s="61" t="s">
        <v>28</v>
      </c>
      <c r="S162" s="61" t="s">
        <v>138</v>
      </c>
    </row>
    <row r="163" spans="1:19" ht="18" customHeight="1">
      <c r="A163" s="68" t="s">
        <v>971</v>
      </c>
      <c r="B163" s="69" t="s">
        <v>972</v>
      </c>
      <c r="C163" s="69" t="s">
        <v>973</v>
      </c>
      <c r="D163" s="12" t="s">
        <v>67</v>
      </c>
      <c r="E163" s="69" t="s">
        <v>974</v>
      </c>
      <c r="F163" s="69" t="s">
        <v>975</v>
      </c>
      <c r="G163" s="69" t="s">
        <v>976</v>
      </c>
      <c r="H163" s="69" t="s">
        <v>976</v>
      </c>
      <c r="I163" s="69" t="s">
        <v>977</v>
      </c>
      <c r="J163" s="70">
        <v>55</v>
      </c>
      <c r="K163" s="71">
        <f t="shared" si="6"/>
        <v>1.375</v>
      </c>
      <c r="L163" s="71">
        <v>40</v>
      </c>
      <c r="M163" s="71">
        <v>3.5</v>
      </c>
      <c r="N163" s="72">
        <f t="shared" si="7"/>
        <v>15.714285714285714</v>
      </c>
      <c r="O163" s="73">
        <v>94.56</v>
      </c>
      <c r="P163" s="74">
        <f t="shared" si="8"/>
        <v>1485.9428571428571</v>
      </c>
      <c r="Q163" s="69" t="s">
        <v>27</v>
      </c>
      <c r="R163" s="68" t="s">
        <v>28</v>
      </c>
      <c r="S163" s="68" t="s">
        <v>978</v>
      </c>
    </row>
    <row r="164" spans="1:19" ht="18" customHeight="1">
      <c r="A164" s="68" t="s">
        <v>979</v>
      </c>
      <c r="B164" s="69" t="s">
        <v>972</v>
      </c>
      <c r="C164" s="69" t="s">
        <v>980</v>
      </c>
      <c r="D164" s="4" t="s">
        <v>22</v>
      </c>
      <c r="E164" s="69" t="s">
        <v>981</v>
      </c>
      <c r="F164" s="69" t="s">
        <v>982</v>
      </c>
      <c r="G164" s="69" t="s">
        <v>983</v>
      </c>
      <c r="H164" s="69" t="s">
        <v>983</v>
      </c>
      <c r="I164" s="69" t="s">
        <v>984</v>
      </c>
      <c r="J164" s="70">
        <v>65</v>
      </c>
      <c r="K164" s="71">
        <f t="shared" si="6"/>
        <v>1.4444444444444444</v>
      </c>
      <c r="L164" s="71">
        <v>45</v>
      </c>
      <c r="M164" s="71">
        <v>4</v>
      </c>
      <c r="N164" s="72">
        <f t="shared" si="7"/>
        <v>16.25</v>
      </c>
      <c r="O164" s="73">
        <v>94.56</v>
      </c>
      <c r="P164" s="74">
        <f t="shared" si="8"/>
        <v>1536.6000000000001</v>
      </c>
      <c r="Q164" s="69" t="s">
        <v>27</v>
      </c>
      <c r="R164" s="68" t="s">
        <v>28</v>
      </c>
      <c r="S164" s="68" t="s">
        <v>978</v>
      </c>
    </row>
    <row r="165" spans="1:19" ht="18" customHeight="1">
      <c r="A165" s="68" t="s">
        <v>985</v>
      </c>
      <c r="B165" s="69" t="s">
        <v>972</v>
      </c>
      <c r="C165" s="69" t="s">
        <v>986</v>
      </c>
      <c r="D165" s="10" t="s">
        <v>45</v>
      </c>
      <c r="E165" s="69" t="s">
        <v>987</v>
      </c>
      <c r="F165" s="69" t="s">
        <v>988</v>
      </c>
      <c r="G165" s="69" t="s">
        <v>989</v>
      </c>
      <c r="H165" s="69" t="s">
        <v>990</v>
      </c>
      <c r="I165" s="69" t="s">
        <v>991</v>
      </c>
      <c r="J165" s="70">
        <v>15</v>
      </c>
      <c r="K165" s="71">
        <f t="shared" si="6"/>
        <v>0.75</v>
      </c>
      <c r="L165" s="71">
        <v>20</v>
      </c>
      <c r="M165" s="71">
        <v>3.5</v>
      </c>
      <c r="N165" s="72">
        <f t="shared" si="7"/>
        <v>4.2857142857142856</v>
      </c>
      <c r="O165" s="73">
        <v>94.56</v>
      </c>
      <c r="P165" s="74">
        <f t="shared" si="8"/>
        <v>405.25714285714287</v>
      </c>
      <c r="Q165" s="69" t="s">
        <v>27</v>
      </c>
      <c r="R165" s="68" t="s">
        <v>28</v>
      </c>
      <c r="S165" s="68" t="s">
        <v>978</v>
      </c>
    </row>
    <row r="166" spans="1:19" ht="18" customHeight="1">
      <c r="A166" s="68" t="s">
        <v>992</v>
      </c>
      <c r="B166" s="69" t="s">
        <v>972</v>
      </c>
      <c r="C166" s="69" t="s">
        <v>993</v>
      </c>
      <c r="D166" s="10" t="s">
        <v>45</v>
      </c>
      <c r="E166" s="69" t="s">
        <v>994</v>
      </c>
      <c r="F166" s="69" t="s">
        <v>995</v>
      </c>
      <c r="G166" s="69" t="s">
        <v>996</v>
      </c>
      <c r="H166" s="69" t="s">
        <v>997</v>
      </c>
      <c r="I166" s="69" t="s">
        <v>998</v>
      </c>
      <c r="J166" s="70">
        <v>20</v>
      </c>
      <c r="K166" s="71">
        <f t="shared" si="6"/>
        <v>1</v>
      </c>
      <c r="L166" s="71">
        <v>20</v>
      </c>
      <c r="M166" s="71">
        <v>3.5</v>
      </c>
      <c r="N166" s="72">
        <f t="shared" si="7"/>
        <v>5.7142857142857144</v>
      </c>
      <c r="O166" s="73">
        <v>94.56</v>
      </c>
      <c r="P166" s="74">
        <f t="shared" si="8"/>
        <v>540.34285714285716</v>
      </c>
      <c r="Q166" s="69" t="s">
        <v>37</v>
      </c>
      <c r="R166" s="68" t="s">
        <v>28</v>
      </c>
      <c r="S166" s="68" t="s">
        <v>978</v>
      </c>
    </row>
    <row r="167" spans="1:19" ht="18" customHeight="1">
      <c r="A167" s="68" t="s">
        <v>999</v>
      </c>
      <c r="B167" s="69" t="s">
        <v>972</v>
      </c>
      <c r="C167" s="69" t="s">
        <v>1000</v>
      </c>
      <c r="D167" s="10" t="s">
        <v>45</v>
      </c>
      <c r="E167" s="69" t="s">
        <v>1001</v>
      </c>
      <c r="F167" s="69" t="s">
        <v>1002</v>
      </c>
      <c r="G167" s="69" t="s">
        <v>981</v>
      </c>
      <c r="H167" s="69" t="s">
        <v>981</v>
      </c>
      <c r="I167" s="69" t="s">
        <v>1003</v>
      </c>
      <c r="J167" s="70">
        <v>25</v>
      </c>
      <c r="K167" s="71">
        <f t="shared" si="6"/>
        <v>1.25</v>
      </c>
      <c r="L167" s="71">
        <v>20</v>
      </c>
      <c r="M167" s="71">
        <v>3.5</v>
      </c>
      <c r="N167" s="72">
        <f t="shared" si="7"/>
        <v>7.1428571428571432</v>
      </c>
      <c r="O167" s="73">
        <v>94.56</v>
      </c>
      <c r="P167" s="74">
        <f t="shared" si="8"/>
        <v>675.42857142857144</v>
      </c>
      <c r="Q167" s="69" t="s">
        <v>37</v>
      </c>
      <c r="R167" s="68" t="s">
        <v>28</v>
      </c>
      <c r="S167" s="68" t="s">
        <v>978</v>
      </c>
    </row>
    <row r="168" spans="1:19" ht="18" customHeight="1">
      <c r="A168" s="68" t="s">
        <v>1004</v>
      </c>
      <c r="B168" s="69" t="s">
        <v>972</v>
      </c>
      <c r="C168" s="69" t="s">
        <v>1005</v>
      </c>
      <c r="D168" s="13" t="s">
        <v>81</v>
      </c>
      <c r="E168" s="69" t="s">
        <v>974</v>
      </c>
      <c r="F168" s="69" t="s">
        <v>981</v>
      </c>
      <c r="G168" s="69" t="s">
        <v>1006</v>
      </c>
      <c r="H168" s="69" t="s">
        <v>1006</v>
      </c>
      <c r="I168" s="69" t="s">
        <v>977</v>
      </c>
      <c r="J168" s="70">
        <v>90</v>
      </c>
      <c r="K168" s="71">
        <f t="shared" si="6"/>
        <v>1.8</v>
      </c>
      <c r="L168" s="71">
        <v>50</v>
      </c>
      <c r="M168" s="71">
        <v>4.5</v>
      </c>
      <c r="N168" s="72">
        <f t="shared" si="7"/>
        <v>20</v>
      </c>
      <c r="O168" s="73">
        <v>94.56</v>
      </c>
      <c r="P168" s="74">
        <f t="shared" si="8"/>
        <v>1891.2</v>
      </c>
      <c r="Q168" s="69" t="s">
        <v>37</v>
      </c>
      <c r="R168" s="68" t="s">
        <v>85</v>
      </c>
      <c r="S168" s="68" t="s">
        <v>86</v>
      </c>
    </row>
    <row r="169" spans="1:19" ht="18" customHeight="1">
      <c r="A169" s="68" t="s">
        <v>1007</v>
      </c>
      <c r="B169" s="69" t="s">
        <v>972</v>
      </c>
      <c r="C169" s="69" t="s">
        <v>1008</v>
      </c>
      <c r="D169" s="13" t="s">
        <v>81</v>
      </c>
      <c r="E169" s="69" t="s">
        <v>1009</v>
      </c>
      <c r="F169" s="69" t="s">
        <v>981</v>
      </c>
      <c r="G169" s="69" t="s">
        <v>1010</v>
      </c>
      <c r="H169" s="69" t="s">
        <v>1011</v>
      </c>
      <c r="I169" s="69" t="s">
        <v>984</v>
      </c>
      <c r="J169" s="70">
        <v>175</v>
      </c>
      <c r="K169" s="71">
        <f t="shared" si="6"/>
        <v>3.5</v>
      </c>
      <c r="L169" s="71">
        <v>50</v>
      </c>
      <c r="M169" s="71">
        <v>4.5</v>
      </c>
      <c r="N169" s="72">
        <f t="shared" si="7"/>
        <v>38.888888888888886</v>
      </c>
      <c r="O169" s="73">
        <v>94.56</v>
      </c>
      <c r="P169" s="74">
        <f t="shared" si="8"/>
        <v>3677.333333333333</v>
      </c>
      <c r="Q169" s="69" t="s">
        <v>27</v>
      </c>
      <c r="R169" s="68" t="s">
        <v>85</v>
      </c>
      <c r="S169" s="68" t="s">
        <v>86</v>
      </c>
    </row>
    <row r="170" spans="1:19" ht="18" customHeight="1">
      <c r="A170" s="68" t="s">
        <v>1012</v>
      </c>
      <c r="B170" s="69" t="s">
        <v>972</v>
      </c>
      <c r="C170" s="69" t="s">
        <v>428</v>
      </c>
      <c r="D170" s="13" t="s">
        <v>81</v>
      </c>
      <c r="E170" s="69" t="s">
        <v>429</v>
      </c>
      <c r="F170" s="69" t="s">
        <v>1013</v>
      </c>
      <c r="G170" s="69" t="s">
        <v>1014</v>
      </c>
      <c r="H170" s="69" t="s">
        <v>1015</v>
      </c>
      <c r="I170" s="69" t="s">
        <v>1016</v>
      </c>
      <c r="J170" s="70">
        <v>280</v>
      </c>
      <c r="K170" s="71">
        <f t="shared" si="6"/>
        <v>5.6</v>
      </c>
      <c r="L170" s="71">
        <v>50</v>
      </c>
      <c r="M170" s="71">
        <v>4.5</v>
      </c>
      <c r="N170" s="72">
        <f t="shared" si="7"/>
        <v>62.222222222222221</v>
      </c>
      <c r="O170" s="73">
        <v>94.56</v>
      </c>
      <c r="P170" s="74">
        <f t="shared" si="8"/>
        <v>5883.7333333333336</v>
      </c>
      <c r="Q170" s="69" t="s">
        <v>27</v>
      </c>
      <c r="R170" s="68" t="s">
        <v>85</v>
      </c>
      <c r="S170" s="68" t="s">
        <v>86</v>
      </c>
    </row>
    <row r="171" spans="1:19" ht="18" customHeight="1">
      <c r="A171" s="68" t="s">
        <v>1017</v>
      </c>
      <c r="B171" s="69" t="s">
        <v>972</v>
      </c>
      <c r="C171" s="69" t="s">
        <v>1018</v>
      </c>
      <c r="D171" s="13" t="s">
        <v>81</v>
      </c>
      <c r="E171" s="69" t="s">
        <v>996</v>
      </c>
      <c r="F171" s="69" t="s">
        <v>981</v>
      </c>
      <c r="G171" s="69" t="s">
        <v>1019</v>
      </c>
      <c r="H171" s="69" t="s">
        <v>1020</v>
      </c>
      <c r="I171" s="69" t="s">
        <v>1021</v>
      </c>
      <c r="J171" s="70">
        <v>135</v>
      </c>
      <c r="K171" s="71">
        <f t="shared" si="6"/>
        <v>2.7</v>
      </c>
      <c r="L171" s="71">
        <v>50</v>
      </c>
      <c r="M171" s="71">
        <v>4.5</v>
      </c>
      <c r="N171" s="72">
        <f t="shared" si="7"/>
        <v>30</v>
      </c>
      <c r="O171" s="73">
        <v>94.56</v>
      </c>
      <c r="P171" s="74">
        <f t="shared" si="8"/>
        <v>2836.8</v>
      </c>
      <c r="Q171" s="69" t="s">
        <v>37</v>
      </c>
      <c r="R171" s="68" t="s">
        <v>85</v>
      </c>
      <c r="S171" s="68" t="s">
        <v>86</v>
      </c>
    </row>
    <row r="172" spans="1:19" ht="18" customHeight="1">
      <c r="A172" s="68" t="s">
        <v>1022</v>
      </c>
      <c r="B172" s="69" t="s">
        <v>972</v>
      </c>
      <c r="C172" s="69" t="s">
        <v>1023</v>
      </c>
      <c r="D172" s="13" t="s">
        <v>81</v>
      </c>
      <c r="E172" s="69" t="s">
        <v>981</v>
      </c>
      <c r="F172" s="69" t="s">
        <v>1024</v>
      </c>
      <c r="G172" s="69" t="s">
        <v>1025</v>
      </c>
      <c r="H172" s="69" t="s">
        <v>1026</v>
      </c>
      <c r="I172" s="69" t="s">
        <v>1027</v>
      </c>
      <c r="J172" s="70">
        <v>155</v>
      </c>
      <c r="K172" s="71">
        <f t="shared" si="6"/>
        <v>3.1</v>
      </c>
      <c r="L172" s="71">
        <v>50</v>
      </c>
      <c r="M172" s="71">
        <v>4.5</v>
      </c>
      <c r="N172" s="72">
        <f t="shared" si="7"/>
        <v>34.444444444444443</v>
      </c>
      <c r="O172" s="73">
        <v>94.56</v>
      </c>
      <c r="P172" s="74">
        <f t="shared" si="8"/>
        <v>3257.0666666666666</v>
      </c>
      <c r="Q172" s="69" t="s">
        <v>27</v>
      </c>
      <c r="R172" s="68" t="s">
        <v>85</v>
      </c>
      <c r="S172" s="68" t="s">
        <v>86</v>
      </c>
    </row>
    <row r="173" spans="1:19" ht="18" customHeight="1">
      <c r="A173" s="68" t="s">
        <v>1028</v>
      </c>
      <c r="B173" s="69" t="s">
        <v>972</v>
      </c>
      <c r="C173" s="69" t="s">
        <v>1029</v>
      </c>
      <c r="D173" s="13" t="s">
        <v>81</v>
      </c>
      <c r="E173" s="69" t="s">
        <v>990</v>
      </c>
      <c r="F173" s="69" t="s">
        <v>1030</v>
      </c>
      <c r="G173" s="69" t="s">
        <v>1031</v>
      </c>
      <c r="H173" s="69" t="s">
        <v>1031</v>
      </c>
      <c r="I173" s="69" t="s">
        <v>529</v>
      </c>
      <c r="J173" s="70">
        <v>50</v>
      </c>
      <c r="K173" s="71">
        <f t="shared" si="6"/>
        <v>1</v>
      </c>
      <c r="L173" s="71">
        <v>50</v>
      </c>
      <c r="M173" s="71">
        <v>4.5</v>
      </c>
      <c r="N173" s="72">
        <f t="shared" si="7"/>
        <v>11.111111111111111</v>
      </c>
      <c r="O173" s="73">
        <v>94.56</v>
      </c>
      <c r="P173" s="74">
        <f t="shared" si="8"/>
        <v>1050.6666666666667</v>
      </c>
      <c r="Q173" s="69" t="s">
        <v>37</v>
      </c>
      <c r="R173" s="68" t="s">
        <v>85</v>
      </c>
      <c r="S173" s="68" t="s">
        <v>86</v>
      </c>
    </row>
    <row r="174" spans="1:19" ht="18" customHeight="1">
      <c r="A174" s="68" t="s">
        <v>1032</v>
      </c>
      <c r="B174" s="69" t="s">
        <v>972</v>
      </c>
      <c r="C174" s="69" t="s">
        <v>1033</v>
      </c>
      <c r="D174" s="11" t="s">
        <v>59</v>
      </c>
      <c r="E174" s="69" t="s">
        <v>1034</v>
      </c>
      <c r="F174" s="69" t="s">
        <v>1035</v>
      </c>
      <c r="G174" s="69" t="s">
        <v>1036</v>
      </c>
      <c r="H174" s="69" t="s">
        <v>1036</v>
      </c>
      <c r="I174" s="69" t="s">
        <v>1037</v>
      </c>
      <c r="J174" s="70">
        <v>80</v>
      </c>
      <c r="K174" s="71">
        <f t="shared" si="6"/>
        <v>3.2</v>
      </c>
      <c r="L174" s="71">
        <v>25</v>
      </c>
      <c r="M174" s="71">
        <v>3</v>
      </c>
      <c r="N174" s="72">
        <f t="shared" si="7"/>
        <v>26.666666666666668</v>
      </c>
      <c r="O174" s="73">
        <v>94.56</v>
      </c>
      <c r="P174" s="74">
        <f t="shared" si="8"/>
        <v>2521.6000000000004</v>
      </c>
      <c r="Q174" s="69" t="s">
        <v>64</v>
      </c>
      <c r="R174" s="68" t="s">
        <v>28</v>
      </c>
      <c r="S174" s="68" t="s">
        <v>524</v>
      </c>
    </row>
    <row r="175" spans="1:19" ht="18" customHeight="1">
      <c r="A175" s="68" t="s">
        <v>1038</v>
      </c>
      <c r="B175" s="69" t="s">
        <v>972</v>
      </c>
      <c r="C175" s="69" t="s">
        <v>1039</v>
      </c>
      <c r="D175" s="4" t="s">
        <v>22</v>
      </c>
      <c r="E175" s="69" t="s">
        <v>1040</v>
      </c>
      <c r="F175" s="69" t="s">
        <v>1034</v>
      </c>
      <c r="G175" s="69" t="s">
        <v>1041</v>
      </c>
      <c r="H175" s="69" t="s">
        <v>1041</v>
      </c>
      <c r="I175" s="69" t="s">
        <v>1042</v>
      </c>
      <c r="J175" s="70">
        <v>55</v>
      </c>
      <c r="K175" s="71">
        <f t="shared" si="6"/>
        <v>1.2222222222222223</v>
      </c>
      <c r="L175" s="71">
        <v>45</v>
      </c>
      <c r="M175" s="71">
        <v>4</v>
      </c>
      <c r="N175" s="72">
        <f t="shared" si="7"/>
        <v>13.75</v>
      </c>
      <c r="O175" s="73">
        <v>94.56</v>
      </c>
      <c r="P175" s="74">
        <f t="shared" si="8"/>
        <v>1300.2</v>
      </c>
      <c r="Q175" s="69" t="s">
        <v>27</v>
      </c>
      <c r="R175" s="68" t="s">
        <v>28</v>
      </c>
      <c r="S175" s="68" t="s">
        <v>125</v>
      </c>
    </row>
    <row r="176" spans="1:19" ht="18" customHeight="1">
      <c r="A176" s="68" t="s">
        <v>1043</v>
      </c>
      <c r="B176" s="69" t="s">
        <v>972</v>
      </c>
      <c r="C176" s="69" t="s">
        <v>1044</v>
      </c>
      <c r="D176" s="4" t="s">
        <v>22</v>
      </c>
      <c r="E176" s="69" t="s">
        <v>990</v>
      </c>
      <c r="F176" s="69" t="s">
        <v>1045</v>
      </c>
      <c r="G176" s="69" t="s">
        <v>1046</v>
      </c>
      <c r="H176" s="69" t="s">
        <v>1046</v>
      </c>
      <c r="I176" s="69" t="s">
        <v>1047</v>
      </c>
      <c r="J176" s="70">
        <v>90</v>
      </c>
      <c r="K176" s="71">
        <f t="shared" si="6"/>
        <v>2</v>
      </c>
      <c r="L176" s="71">
        <v>45</v>
      </c>
      <c r="M176" s="71">
        <v>4</v>
      </c>
      <c r="N176" s="72">
        <f t="shared" si="7"/>
        <v>22.5</v>
      </c>
      <c r="O176" s="73">
        <v>94.56</v>
      </c>
      <c r="P176" s="74">
        <f t="shared" si="8"/>
        <v>2127.6</v>
      </c>
      <c r="Q176" s="69" t="s">
        <v>27</v>
      </c>
      <c r="R176" s="68" t="s">
        <v>28</v>
      </c>
      <c r="S176" s="68" t="s">
        <v>125</v>
      </c>
    </row>
    <row r="177" spans="1:19" ht="18" customHeight="1">
      <c r="A177" s="68" t="s">
        <v>1048</v>
      </c>
      <c r="B177" s="69" t="s">
        <v>972</v>
      </c>
      <c r="C177" s="69" t="s">
        <v>1049</v>
      </c>
      <c r="D177" s="11" t="s">
        <v>59</v>
      </c>
      <c r="E177" s="69" t="s">
        <v>1050</v>
      </c>
      <c r="F177" s="69" t="s">
        <v>1051</v>
      </c>
      <c r="G177" s="69" t="s">
        <v>1052</v>
      </c>
      <c r="H177" s="69" t="s">
        <v>1052</v>
      </c>
      <c r="I177" s="69" t="s">
        <v>1027</v>
      </c>
      <c r="J177" s="70">
        <v>65</v>
      </c>
      <c r="K177" s="71">
        <f t="shared" si="6"/>
        <v>2.6</v>
      </c>
      <c r="L177" s="71">
        <v>25</v>
      </c>
      <c r="M177" s="71">
        <v>3</v>
      </c>
      <c r="N177" s="72">
        <f t="shared" si="7"/>
        <v>21.666666666666668</v>
      </c>
      <c r="O177" s="73">
        <v>94.56</v>
      </c>
      <c r="P177" s="74">
        <f t="shared" si="8"/>
        <v>2048.8000000000002</v>
      </c>
      <c r="Q177" s="69" t="s">
        <v>64</v>
      </c>
      <c r="R177" s="68" t="s">
        <v>28</v>
      </c>
      <c r="S177" s="68" t="s">
        <v>138</v>
      </c>
    </row>
    <row r="178" spans="1:19" ht="18" customHeight="1">
      <c r="A178" s="68" t="s">
        <v>1053</v>
      </c>
      <c r="B178" s="69" t="s">
        <v>972</v>
      </c>
      <c r="C178" s="69" t="s">
        <v>1054</v>
      </c>
      <c r="D178" s="11" t="s">
        <v>59</v>
      </c>
      <c r="E178" s="69" t="s">
        <v>1055</v>
      </c>
      <c r="F178" s="69" t="s">
        <v>1056</v>
      </c>
      <c r="G178" s="69" t="s">
        <v>1057</v>
      </c>
      <c r="H178" s="69" t="s">
        <v>1055</v>
      </c>
      <c r="I178" s="69" t="s">
        <v>1058</v>
      </c>
      <c r="J178" s="70">
        <v>40</v>
      </c>
      <c r="K178" s="71">
        <f t="shared" si="6"/>
        <v>1.6</v>
      </c>
      <c r="L178" s="71">
        <v>25</v>
      </c>
      <c r="M178" s="71">
        <v>3</v>
      </c>
      <c r="N178" s="72">
        <f t="shared" si="7"/>
        <v>13.333333333333334</v>
      </c>
      <c r="O178" s="73">
        <v>94.56</v>
      </c>
      <c r="P178" s="74">
        <f t="shared" si="8"/>
        <v>1260.8000000000002</v>
      </c>
      <c r="Q178" s="69" t="s">
        <v>64</v>
      </c>
      <c r="R178" s="68" t="s">
        <v>28</v>
      </c>
      <c r="S178" s="68" t="s">
        <v>138</v>
      </c>
    </row>
    <row r="179" spans="1:19" ht="18" customHeight="1">
      <c r="A179" s="68" t="s">
        <v>1059</v>
      </c>
      <c r="B179" s="69" t="s">
        <v>972</v>
      </c>
      <c r="C179" s="69" t="s">
        <v>1060</v>
      </c>
      <c r="D179" s="11" t="s">
        <v>59</v>
      </c>
      <c r="E179" s="69" t="s">
        <v>1061</v>
      </c>
      <c r="F179" s="69" t="s">
        <v>1062</v>
      </c>
      <c r="G179" s="69" t="s">
        <v>1063</v>
      </c>
      <c r="H179" s="69" t="s">
        <v>1061</v>
      </c>
      <c r="I179" s="69" t="s">
        <v>1064</v>
      </c>
      <c r="J179" s="70">
        <v>50</v>
      </c>
      <c r="K179" s="71">
        <f t="shared" si="6"/>
        <v>2</v>
      </c>
      <c r="L179" s="71">
        <v>25</v>
      </c>
      <c r="M179" s="71">
        <v>3</v>
      </c>
      <c r="N179" s="72">
        <f t="shared" si="7"/>
        <v>16.666666666666668</v>
      </c>
      <c r="O179" s="73">
        <v>94.56</v>
      </c>
      <c r="P179" s="74">
        <f t="shared" si="8"/>
        <v>1576.0000000000002</v>
      </c>
      <c r="Q179" s="69" t="s">
        <v>64</v>
      </c>
      <c r="R179" s="68" t="s">
        <v>28</v>
      </c>
      <c r="S179" s="68" t="s">
        <v>138</v>
      </c>
    </row>
    <row r="180" spans="1:19" ht="18" customHeight="1">
      <c r="A180" s="75" t="s">
        <v>1065</v>
      </c>
      <c r="B180" s="76" t="s">
        <v>1066</v>
      </c>
      <c r="C180" s="76" t="s">
        <v>1067</v>
      </c>
      <c r="D180" s="15" t="s">
        <v>519</v>
      </c>
      <c r="E180" s="76" t="s">
        <v>1068</v>
      </c>
      <c r="F180" s="76" t="s">
        <v>1069</v>
      </c>
      <c r="G180" s="76" t="s">
        <v>1070</v>
      </c>
      <c r="H180" s="76" t="s">
        <v>1071</v>
      </c>
      <c r="I180" s="76" t="s">
        <v>1072</v>
      </c>
      <c r="J180" s="77">
        <v>110</v>
      </c>
      <c r="K180" s="78">
        <f t="shared" si="6"/>
        <v>1.375</v>
      </c>
      <c r="L180" s="78">
        <v>80</v>
      </c>
      <c r="M180" s="78">
        <v>5</v>
      </c>
      <c r="N180" s="79">
        <f t="shared" si="7"/>
        <v>22</v>
      </c>
      <c r="O180" s="80">
        <v>94.56</v>
      </c>
      <c r="P180" s="81">
        <f t="shared" si="8"/>
        <v>2080.3200000000002</v>
      </c>
      <c r="Q180" s="76" t="s">
        <v>37</v>
      </c>
      <c r="R180" s="75" t="s">
        <v>85</v>
      </c>
      <c r="S180" s="75" t="s">
        <v>370</v>
      </c>
    </row>
    <row r="181" spans="1:19" ht="18" customHeight="1">
      <c r="A181" s="75" t="s">
        <v>1073</v>
      </c>
      <c r="B181" s="76" t="s">
        <v>1066</v>
      </c>
      <c r="C181" s="76" t="s">
        <v>1074</v>
      </c>
      <c r="D181" s="15" t="s">
        <v>519</v>
      </c>
      <c r="E181" s="76" t="s">
        <v>1070</v>
      </c>
      <c r="F181" s="76" t="s">
        <v>1075</v>
      </c>
      <c r="G181" s="76" t="s">
        <v>1076</v>
      </c>
      <c r="H181" s="76" t="s">
        <v>1071</v>
      </c>
      <c r="I181" s="76" t="s">
        <v>1077</v>
      </c>
      <c r="J181" s="77">
        <v>100</v>
      </c>
      <c r="K181" s="78">
        <f t="shared" si="6"/>
        <v>1.25</v>
      </c>
      <c r="L181" s="78">
        <v>80</v>
      </c>
      <c r="M181" s="78">
        <v>5</v>
      </c>
      <c r="N181" s="79">
        <f t="shared" si="7"/>
        <v>20</v>
      </c>
      <c r="O181" s="80">
        <v>94.56</v>
      </c>
      <c r="P181" s="81">
        <f t="shared" si="8"/>
        <v>1891.2</v>
      </c>
      <c r="Q181" s="76" t="s">
        <v>37</v>
      </c>
      <c r="R181" s="75" t="s">
        <v>85</v>
      </c>
      <c r="S181" s="75" t="s">
        <v>370</v>
      </c>
    </row>
    <row r="182" spans="1:19" ht="18" customHeight="1">
      <c r="A182" s="75" t="s">
        <v>1078</v>
      </c>
      <c r="B182" s="76" t="s">
        <v>1066</v>
      </c>
      <c r="C182" s="76" t="s">
        <v>1079</v>
      </c>
      <c r="D182" s="15" t="s">
        <v>519</v>
      </c>
      <c r="E182" s="76" t="s">
        <v>1070</v>
      </c>
      <c r="F182" s="76" t="s">
        <v>1080</v>
      </c>
      <c r="G182" s="76" t="s">
        <v>1081</v>
      </c>
      <c r="H182" s="76" t="s">
        <v>1082</v>
      </c>
      <c r="I182" s="76" t="s">
        <v>1083</v>
      </c>
      <c r="J182" s="77">
        <v>118</v>
      </c>
      <c r="K182" s="78">
        <f t="shared" si="6"/>
        <v>1.4750000000000001</v>
      </c>
      <c r="L182" s="78">
        <v>80</v>
      </c>
      <c r="M182" s="78">
        <v>5</v>
      </c>
      <c r="N182" s="79">
        <f t="shared" si="7"/>
        <v>23.6</v>
      </c>
      <c r="O182" s="80">
        <v>94.56</v>
      </c>
      <c r="P182" s="81">
        <f t="shared" si="8"/>
        <v>2231.616</v>
      </c>
      <c r="Q182" s="76" t="s">
        <v>37</v>
      </c>
      <c r="R182" s="75" t="s">
        <v>85</v>
      </c>
      <c r="S182" s="75" t="s">
        <v>370</v>
      </c>
    </row>
    <row r="183" spans="1:19" ht="18" customHeight="1">
      <c r="A183" s="75" t="s">
        <v>1084</v>
      </c>
      <c r="B183" s="76" t="s">
        <v>1066</v>
      </c>
      <c r="C183" s="76" t="s">
        <v>1085</v>
      </c>
      <c r="D183" s="12" t="s">
        <v>67</v>
      </c>
      <c r="E183" s="76" t="s">
        <v>1086</v>
      </c>
      <c r="F183" s="76" t="s">
        <v>1087</v>
      </c>
      <c r="G183" s="76" t="s">
        <v>1088</v>
      </c>
      <c r="H183" s="76" t="s">
        <v>1088</v>
      </c>
      <c r="I183" s="76" t="s">
        <v>1089</v>
      </c>
      <c r="J183" s="77">
        <v>65</v>
      </c>
      <c r="K183" s="78">
        <f t="shared" si="6"/>
        <v>1.625</v>
      </c>
      <c r="L183" s="78">
        <v>40</v>
      </c>
      <c r="M183" s="78">
        <v>3.5</v>
      </c>
      <c r="N183" s="79">
        <f t="shared" si="7"/>
        <v>18.571428571428573</v>
      </c>
      <c r="O183" s="80">
        <v>94.56</v>
      </c>
      <c r="P183" s="81">
        <f t="shared" si="8"/>
        <v>1756.1142857142859</v>
      </c>
      <c r="Q183" s="76" t="s">
        <v>27</v>
      </c>
      <c r="R183" s="75" t="s">
        <v>28</v>
      </c>
      <c r="S183" s="75" t="s">
        <v>693</v>
      </c>
    </row>
    <row r="184" spans="1:19" ht="18" customHeight="1">
      <c r="A184" s="75" t="s">
        <v>1090</v>
      </c>
      <c r="B184" s="76" t="s">
        <v>1066</v>
      </c>
      <c r="C184" s="76" t="s">
        <v>1091</v>
      </c>
      <c r="D184" s="12" t="s">
        <v>67</v>
      </c>
      <c r="E184" s="76" t="s">
        <v>1092</v>
      </c>
      <c r="F184" s="76" t="s">
        <v>1093</v>
      </c>
      <c r="G184" s="76" t="s">
        <v>1094</v>
      </c>
      <c r="H184" s="76" t="s">
        <v>1095</v>
      </c>
      <c r="I184" s="76" t="s">
        <v>1096</v>
      </c>
      <c r="J184" s="77">
        <v>55</v>
      </c>
      <c r="K184" s="78">
        <f t="shared" si="6"/>
        <v>1.375</v>
      </c>
      <c r="L184" s="78">
        <v>40</v>
      </c>
      <c r="M184" s="78">
        <v>3.5</v>
      </c>
      <c r="N184" s="79">
        <f t="shared" si="7"/>
        <v>15.714285714285714</v>
      </c>
      <c r="O184" s="80">
        <v>94.56</v>
      </c>
      <c r="P184" s="81">
        <f t="shared" si="8"/>
        <v>1485.9428571428571</v>
      </c>
      <c r="Q184" s="76" t="s">
        <v>27</v>
      </c>
      <c r="R184" s="75" t="s">
        <v>28</v>
      </c>
      <c r="S184" s="75" t="s">
        <v>693</v>
      </c>
    </row>
    <row r="185" spans="1:19" ht="18" customHeight="1">
      <c r="A185" s="75" t="s">
        <v>1097</v>
      </c>
      <c r="B185" s="76" t="s">
        <v>1066</v>
      </c>
      <c r="C185" s="76" t="s">
        <v>1098</v>
      </c>
      <c r="D185" s="4" t="s">
        <v>22</v>
      </c>
      <c r="E185" s="76" t="s">
        <v>1099</v>
      </c>
      <c r="F185" s="76" t="s">
        <v>1100</v>
      </c>
      <c r="G185" s="76" t="s">
        <v>1101</v>
      </c>
      <c r="H185" s="76" t="s">
        <v>1102</v>
      </c>
      <c r="I185" s="76" t="s">
        <v>1103</v>
      </c>
      <c r="J185" s="77">
        <v>60</v>
      </c>
      <c r="K185" s="78">
        <f t="shared" si="6"/>
        <v>1.3333333333333333</v>
      </c>
      <c r="L185" s="78">
        <v>45</v>
      </c>
      <c r="M185" s="78">
        <v>4</v>
      </c>
      <c r="N185" s="79">
        <f t="shared" si="7"/>
        <v>15</v>
      </c>
      <c r="O185" s="80">
        <v>94.56</v>
      </c>
      <c r="P185" s="81">
        <f t="shared" si="8"/>
        <v>1418.4</v>
      </c>
      <c r="Q185" s="76" t="s">
        <v>37</v>
      </c>
      <c r="R185" s="75" t="s">
        <v>28</v>
      </c>
      <c r="S185" s="75" t="s">
        <v>693</v>
      </c>
    </row>
    <row r="186" spans="1:19" ht="18" customHeight="1">
      <c r="A186" s="75" t="s">
        <v>1104</v>
      </c>
      <c r="B186" s="76" t="s">
        <v>1066</v>
      </c>
      <c r="C186" s="76" t="s">
        <v>1105</v>
      </c>
      <c r="D186" s="4" t="s">
        <v>22</v>
      </c>
      <c r="E186" s="76" t="s">
        <v>1106</v>
      </c>
      <c r="F186" s="76" t="s">
        <v>1107</v>
      </c>
      <c r="G186" s="76" t="s">
        <v>1108</v>
      </c>
      <c r="H186" s="76" t="s">
        <v>1107</v>
      </c>
      <c r="I186" s="76" t="s">
        <v>1109</v>
      </c>
      <c r="J186" s="77">
        <v>25</v>
      </c>
      <c r="K186" s="78">
        <f t="shared" si="6"/>
        <v>0.55555555555555558</v>
      </c>
      <c r="L186" s="78">
        <v>45</v>
      </c>
      <c r="M186" s="78">
        <v>4</v>
      </c>
      <c r="N186" s="79">
        <f t="shared" si="7"/>
        <v>6.25</v>
      </c>
      <c r="O186" s="80">
        <v>94.56</v>
      </c>
      <c r="P186" s="81">
        <f t="shared" si="8"/>
        <v>591</v>
      </c>
      <c r="Q186" s="76" t="s">
        <v>37</v>
      </c>
      <c r="R186" s="75" t="s">
        <v>28</v>
      </c>
      <c r="S186" s="75" t="s">
        <v>693</v>
      </c>
    </row>
    <row r="187" spans="1:19" ht="18" customHeight="1">
      <c r="A187" s="75" t="s">
        <v>1110</v>
      </c>
      <c r="B187" s="76" t="s">
        <v>1066</v>
      </c>
      <c r="C187" s="76" t="s">
        <v>1111</v>
      </c>
      <c r="D187" s="10" t="s">
        <v>45</v>
      </c>
      <c r="E187" s="76" t="s">
        <v>1112</v>
      </c>
      <c r="F187" s="76" t="s">
        <v>1113</v>
      </c>
      <c r="G187" s="76" t="s">
        <v>1070</v>
      </c>
      <c r="H187" s="76" t="s">
        <v>1114</v>
      </c>
      <c r="I187" s="76" t="s">
        <v>1114</v>
      </c>
      <c r="J187" s="77">
        <v>60</v>
      </c>
      <c r="K187" s="78">
        <f t="shared" si="6"/>
        <v>3</v>
      </c>
      <c r="L187" s="78">
        <v>20</v>
      </c>
      <c r="M187" s="78">
        <v>3.5</v>
      </c>
      <c r="N187" s="79">
        <f t="shared" si="7"/>
        <v>17.142857142857142</v>
      </c>
      <c r="O187" s="80">
        <v>94.56</v>
      </c>
      <c r="P187" s="81">
        <f t="shared" si="8"/>
        <v>1621.0285714285715</v>
      </c>
      <c r="Q187" s="76" t="s">
        <v>27</v>
      </c>
      <c r="R187" s="75" t="s">
        <v>28</v>
      </c>
      <c r="S187" s="75" t="s">
        <v>693</v>
      </c>
    </row>
    <row r="188" spans="1:19" ht="18" customHeight="1">
      <c r="A188" s="75" t="s">
        <v>1115</v>
      </c>
      <c r="B188" s="76" t="s">
        <v>1066</v>
      </c>
      <c r="C188" s="76" t="s">
        <v>1116</v>
      </c>
      <c r="D188" s="10" t="s">
        <v>45</v>
      </c>
      <c r="E188" s="76" t="s">
        <v>1117</v>
      </c>
      <c r="F188" s="76" t="s">
        <v>1118</v>
      </c>
      <c r="G188" s="76" t="s">
        <v>1099</v>
      </c>
      <c r="H188" s="76" t="s">
        <v>1119</v>
      </c>
      <c r="I188" s="76" t="s">
        <v>1120</v>
      </c>
      <c r="J188" s="77">
        <v>10</v>
      </c>
      <c r="K188" s="78">
        <f t="shared" si="6"/>
        <v>0.5</v>
      </c>
      <c r="L188" s="78">
        <v>20</v>
      </c>
      <c r="M188" s="78">
        <v>3.5</v>
      </c>
      <c r="N188" s="79">
        <f t="shared" si="7"/>
        <v>2.8571428571428572</v>
      </c>
      <c r="O188" s="80">
        <v>94.56</v>
      </c>
      <c r="P188" s="81">
        <f t="shared" si="8"/>
        <v>270.17142857142858</v>
      </c>
      <c r="Q188" s="76" t="s">
        <v>37</v>
      </c>
      <c r="R188" s="75" t="s">
        <v>28</v>
      </c>
      <c r="S188" s="75" t="s">
        <v>693</v>
      </c>
    </row>
    <row r="189" spans="1:19" ht="18" customHeight="1">
      <c r="A189" s="75" t="s">
        <v>1121</v>
      </c>
      <c r="B189" s="76" t="s">
        <v>1066</v>
      </c>
      <c r="C189" s="76" t="s">
        <v>1122</v>
      </c>
      <c r="D189" s="10" t="s">
        <v>45</v>
      </c>
      <c r="E189" s="76" t="s">
        <v>1123</v>
      </c>
      <c r="F189" s="76" t="s">
        <v>1124</v>
      </c>
      <c r="G189" s="76" t="s">
        <v>1080</v>
      </c>
      <c r="H189" s="76" t="s">
        <v>1080</v>
      </c>
      <c r="I189" s="76" t="s">
        <v>1125</v>
      </c>
      <c r="J189" s="77">
        <v>12</v>
      </c>
      <c r="K189" s="78">
        <f t="shared" si="6"/>
        <v>0.6</v>
      </c>
      <c r="L189" s="78">
        <v>20</v>
      </c>
      <c r="M189" s="78">
        <v>3.5</v>
      </c>
      <c r="N189" s="79">
        <f t="shared" si="7"/>
        <v>3.4285714285714284</v>
      </c>
      <c r="O189" s="80">
        <v>94.56</v>
      </c>
      <c r="P189" s="81">
        <f t="shared" si="8"/>
        <v>324.20571428571429</v>
      </c>
      <c r="Q189" s="76" t="s">
        <v>37</v>
      </c>
      <c r="R189" s="75" t="s">
        <v>28</v>
      </c>
      <c r="S189" s="75" t="s">
        <v>693</v>
      </c>
    </row>
    <row r="190" spans="1:19" ht="18" customHeight="1">
      <c r="A190" s="75" t="s">
        <v>1126</v>
      </c>
      <c r="B190" s="76" t="s">
        <v>1066</v>
      </c>
      <c r="C190" s="76" t="s">
        <v>1127</v>
      </c>
      <c r="D190" s="13" t="s">
        <v>81</v>
      </c>
      <c r="E190" s="76" t="s">
        <v>1106</v>
      </c>
      <c r="F190" s="76" t="s">
        <v>1128</v>
      </c>
      <c r="G190" s="76" t="s">
        <v>1129</v>
      </c>
      <c r="H190" s="76" t="s">
        <v>1130</v>
      </c>
      <c r="I190" s="76" t="s">
        <v>1131</v>
      </c>
      <c r="J190" s="77">
        <v>170</v>
      </c>
      <c r="K190" s="78">
        <f t="shared" si="6"/>
        <v>3.4</v>
      </c>
      <c r="L190" s="78">
        <v>50</v>
      </c>
      <c r="M190" s="78">
        <v>4.5</v>
      </c>
      <c r="N190" s="79">
        <f t="shared" si="7"/>
        <v>37.777777777777779</v>
      </c>
      <c r="O190" s="80">
        <v>94.56</v>
      </c>
      <c r="P190" s="81">
        <f t="shared" si="8"/>
        <v>3572.2666666666669</v>
      </c>
      <c r="Q190" s="76" t="s">
        <v>27</v>
      </c>
      <c r="R190" s="75" t="s">
        <v>85</v>
      </c>
      <c r="S190" s="75" t="s">
        <v>86</v>
      </c>
    </row>
    <row r="191" spans="1:19" ht="18" customHeight="1">
      <c r="A191" s="75" t="s">
        <v>1132</v>
      </c>
      <c r="B191" s="76" t="s">
        <v>1066</v>
      </c>
      <c r="C191" s="76" t="s">
        <v>1133</v>
      </c>
      <c r="D191" s="13" t="s">
        <v>81</v>
      </c>
      <c r="E191" s="76" t="s">
        <v>1070</v>
      </c>
      <c r="F191" s="76" t="s">
        <v>109</v>
      </c>
      <c r="G191" s="76" t="s">
        <v>1134</v>
      </c>
      <c r="H191" s="76" t="s">
        <v>1135</v>
      </c>
      <c r="I191" s="76" t="s">
        <v>1109</v>
      </c>
      <c r="J191" s="77">
        <v>400</v>
      </c>
      <c r="K191" s="78">
        <f t="shared" si="6"/>
        <v>8</v>
      </c>
      <c r="L191" s="78">
        <v>50</v>
      </c>
      <c r="M191" s="78">
        <v>4.5</v>
      </c>
      <c r="N191" s="79">
        <f t="shared" si="7"/>
        <v>88.888888888888886</v>
      </c>
      <c r="O191" s="80">
        <v>94.56</v>
      </c>
      <c r="P191" s="81">
        <f t="shared" si="8"/>
        <v>8405.3333333333339</v>
      </c>
      <c r="Q191" s="76" t="s">
        <v>37</v>
      </c>
      <c r="R191" s="75" t="s">
        <v>85</v>
      </c>
      <c r="S191" s="75" t="s">
        <v>86</v>
      </c>
    </row>
    <row r="192" spans="1:19" ht="18" customHeight="1">
      <c r="A192" s="75" t="s">
        <v>1136</v>
      </c>
      <c r="B192" s="76" t="s">
        <v>1066</v>
      </c>
      <c r="C192" s="76" t="s">
        <v>1137</v>
      </c>
      <c r="D192" s="13" t="s">
        <v>81</v>
      </c>
      <c r="E192" s="76" t="s">
        <v>1070</v>
      </c>
      <c r="F192" s="76" t="s">
        <v>1138</v>
      </c>
      <c r="G192" s="76" t="s">
        <v>1139</v>
      </c>
      <c r="H192" s="76" t="s">
        <v>1140</v>
      </c>
      <c r="I192" s="76" t="s">
        <v>1141</v>
      </c>
      <c r="J192" s="77">
        <v>380</v>
      </c>
      <c r="K192" s="78">
        <f t="shared" si="6"/>
        <v>7.6</v>
      </c>
      <c r="L192" s="78">
        <v>50</v>
      </c>
      <c r="M192" s="78">
        <v>4.5</v>
      </c>
      <c r="N192" s="79">
        <f t="shared" si="7"/>
        <v>84.444444444444443</v>
      </c>
      <c r="O192" s="80">
        <v>94.56</v>
      </c>
      <c r="P192" s="81">
        <f t="shared" si="8"/>
        <v>7985.0666666666666</v>
      </c>
      <c r="Q192" s="76" t="s">
        <v>37</v>
      </c>
      <c r="R192" s="75" t="s">
        <v>85</v>
      </c>
      <c r="S192" s="75" t="s">
        <v>86</v>
      </c>
    </row>
    <row r="193" spans="1:19" ht="18" customHeight="1">
      <c r="A193" s="75" t="s">
        <v>1142</v>
      </c>
      <c r="B193" s="76" t="s">
        <v>1066</v>
      </c>
      <c r="C193" s="76" t="s">
        <v>1143</v>
      </c>
      <c r="D193" s="13" t="s">
        <v>81</v>
      </c>
      <c r="E193" s="76" t="s">
        <v>1144</v>
      </c>
      <c r="F193" s="76" t="s">
        <v>1099</v>
      </c>
      <c r="G193" s="76" t="s">
        <v>1145</v>
      </c>
      <c r="H193" s="76" t="s">
        <v>1146</v>
      </c>
      <c r="I193" s="76" t="s">
        <v>1103</v>
      </c>
      <c r="J193" s="77">
        <v>270</v>
      </c>
      <c r="K193" s="78">
        <f t="shared" si="6"/>
        <v>5.4</v>
      </c>
      <c r="L193" s="78">
        <v>50</v>
      </c>
      <c r="M193" s="78">
        <v>4.5</v>
      </c>
      <c r="N193" s="79">
        <f t="shared" si="7"/>
        <v>60</v>
      </c>
      <c r="O193" s="80">
        <v>94.56</v>
      </c>
      <c r="P193" s="81">
        <f t="shared" si="8"/>
        <v>5673.6</v>
      </c>
      <c r="Q193" s="76" t="s">
        <v>37</v>
      </c>
      <c r="R193" s="75" t="s">
        <v>85</v>
      </c>
      <c r="S193" s="75" t="s">
        <v>86</v>
      </c>
    </row>
    <row r="194" spans="1:19" ht="18" customHeight="1">
      <c r="A194" s="75" t="s">
        <v>1147</v>
      </c>
      <c r="B194" s="76" t="s">
        <v>1066</v>
      </c>
      <c r="C194" s="76" t="s">
        <v>1148</v>
      </c>
      <c r="D194" s="13" t="s">
        <v>81</v>
      </c>
      <c r="E194" s="76" t="s">
        <v>1080</v>
      </c>
      <c r="F194" s="76" t="s">
        <v>1149</v>
      </c>
      <c r="G194" s="76" t="s">
        <v>1150</v>
      </c>
      <c r="H194" s="76" t="s">
        <v>1151</v>
      </c>
      <c r="I194" s="76" t="s">
        <v>1152</v>
      </c>
      <c r="J194" s="77">
        <v>115</v>
      </c>
      <c r="K194" s="78">
        <f t="shared" ref="K194:K257" si="9">J194/L194</f>
        <v>2.2999999999999998</v>
      </c>
      <c r="L194" s="78">
        <v>50</v>
      </c>
      <c r="M194" s="78">
        <v>4.5</v>
      </c>
      <c r="N194" s="79">
        <f t="shared" ref="N194:N257" si="10">J194/M194</f>
        <v>25.555555555555557</v>
      </c>
      <c r="O194" s="80">
        <v>94.56</v>
      </c>
      <c r="P194" s="81">
        <f t="shared" ref="P194:P257" si="11">N194*O194</f>
        <v>2416.5333333333338</v>
      </c>
      <c r="Q194" s="76" t="s">
        <v>27</v>
      </c>
      <c r="R194" s="75" t="s">
        <v>85</v>
      </c>
      <c r="S194" s="75" t="s">
        <v>86</v>
      </c>
    </row>
    <row r="195" spans="1:19" ht="18" customHeight="1">
      <c r="A195" s="75" t="s">
        <v>1153</v>
      </c>
      <c r="B195" s="76" t="s">
        <v>1066</v>
      </c>
      <c r="C195" s="76" t="s">
        <v>1154</v>
      </c>
      <c r="D195" s="11" t="s">
        <v>59</v>
      </c>
      <c r="E195" s="76" t="s">
        <v>1155</v>
      </c>
      <c r="F195" s="76" t="s">
        <v>1156</v>
      </c>
      <c r="G195" s="76" t="s">
        <v>1157</v>
      </c>
      <c r="H195" s="76" t="s">
        <v>1158</v>
      </c>
      <c r="I195" s="76" t="s">
        <v>1159</v>
      </c>
      <c r="J195" s="77">
        <v>55</v>
      </c>
      <c r="K195" s="78">
        <f t="shared" si="9"/>
        <v>2.2000000000000002</v>
      </c>
      <c r="L195" s="78">
        <v>25</v>
      </c>
      <c r="M195" s="78">
        <v>3</v>
      </c>
      <c r="N195" s="79">
        <f t="shared" si="10"/>
        <v>18.333333333333332</v>
      </c>
      <c r="O195" s="80">
        <v>94.56</v>
      </c>
      <c r="P195" s="81">
        <f t="shared" si="11"/>
        <v>1733.6</v>
      </c>
      <c r="Q195" s="76" t="s">
        <v>27</v>
      </c>
      <c r="R195" s="75" t="s">
        <v>28</v>
      </c>
      <c r="S195" s="75" t="s">
        <v>524</v>
      </c>
    </row>
    <row r="196" spans="1:19" ht="18" customHeight="1">
      <c r="A196" s="75" t="s">
        <v>1160</v>
      </c>
      <c r="B196" s="76" t="s">
        <v>1066</v>
      </c>
      <c r="C196" s="76" t="s">
        <v>1161</v>
      </c>
      <c r="D196" s="11" t="s">
        <v>59</v>
      </c>
      <c r="E196" s="76" t="s">
        <v>1162</v>
      </c>
      <c r="F196" s="76" t="s">
        <v>1163</v>
      </c>
      <c r="G196" s="76" t="s">
        <v>1164</v>
      </c>
      <c r="H196" s="76" t="s">
        <v>1095</v>
      </c>
      <c r="I196" s="76" t="s">
        <v>1165</v>
      </c>
      <c r="J196" s="77">
        <v>45</v>
      </c>
      <c r="K196" s="78">
        <f t="shared" si="9"/>
        <v>1.8</v>
      </c>
      <c r="L196" s="78">
        <v>25</v>
      </c>
      <c r="M196" s="78">
        <v>3</v>
      </c>
      <c r="N196" s="79">
        <f t="shared" si="10"/>
        <v>15</v>
      </c>
      <c r="O196" s="80">
        <v>94.56</v>
      </c>
      <c r="P196" s="81">
        <f t="shared" si="11"/>
        <v>1418.4</v>
      </c>
      <c r="Q196" s="76" t="s">
        <v>64</v>
      </c>
      <c r="R196" s="75" t="s">
        <v>28</v>
      </c>
      <c r="S196" s="75" t="s">
        <v>524</v>
      </c>
    </row>
    <row r="197" spans="1:19" ht="18" customHeight="1">
      <c r="A197" s="75" t="s">
        <v>1166</v>
      </c>
      <c r="B197" s="76" t="s">
        <v>1066</v>
      </c>
      <c r="C197" s="76" t="s">
        <v>1167</v>
      </c>
      <c r="D197" s="4" t="s">
        <v>22</v>
      </c>
      <c r="E197" s="76" t="s">
        <v>1070</v>
      </c>
      <c r="F197" s="76" t="s">
        <v>1168</v>
      </c>
      <c r="G197" s="76" t="s">
        <v>1169</v>
      </c>
      <c r="H197" s="76" t="s">
        <v>1170</v>
      </c>
      <c r="I197" s="76" t="s">
        <v>1077</v>
      </c>
      <c r="J197" s="77">
        <v>100</v>
      </c>
      <c r="K197" s="78">
        <f t="shared" si="9"/>
        <v>2.2222222222222223</v>
      </c>
      <c r="L197" s="78">
        <v>45</v>
      </c>
      <c r="M197" s="78">
        <v>4</v>
      </c>
      <c r="N197" s="79">
        <f t="shared" si="10"/>
        <v>25</v>
      </c>
      <c r="O197" s="80">
        <v>94.56</v>
      </c>
      <c r="P197" s="81">
        <f t="shared" si="11"/>
        <v>2364</v>
      </c>
      <c r="Q197" s="76" t="s">
        <v>37</v>
      </c>
      <c r="R197" s="75" t="s">
        <v>28</v>
      </c>
      <c r="S197" s="75" t="s">
        <v>125</v>
      </c>
    </row>
    <row r="198" spans="1:19" ht="18" customHeight="1">
      <c r="A198" s="75" t="s">
        <v>1171</v>
      </c>
      <c r="B198" s="76" t="s">
        <v>1066</v>
      </c>
      <c r="C198" s="76" t="s">
        <v>1172</v>
      </c>
      <c r="D198" s="11" t="s">
        <v>59</v>
      </c>
      <c r="E198" s="76" t="s">
        <v>1173</v>
      </c>
      <c r="F198" s="76" t="s">
        <v>1174</v>
      </c>
      <c r="G198" s="76" t="s">
        <v>1175</v>
      </c>
      <c r="H198" s="76" t="s">
        <v>1173</v>
      </c>
      <c r="I198" s="76" t="s">
        <v>1176</v>
      </c>
      <c r="J198" s="77">
        <v>40</v>
      </c>
      <c r="K198" s="78">
        <f t="shared" si="9"/>
        <v>1.6</v>
      </c>
      <c r="L198" s="78">
        <v>25</v>
      </c>
      <c r="M198" s="78">
        <v>3</v>
      </c>
      <c r="N198" s="79">
        <f t="shared" si="10"/>
        <v>13.333333333333334</v>
      </c>
      <c r="O198" s="80">
        <v>94.56</v>
      </c>
      <c r="P198" s="81">
        <f t="shared" si="11"/>
        <v>1260.8000000000002</v>
      </c>
      <c r="Q198" s="76" t="s">
        <v>64</v>
      </c>
      <c r="R198" s="75" t="s">
        <v>28</v>
      </c>
      <c r="S198" s="75" t="s">
        <v>138</v>
      </c>
    </row>
    <row r="199" spans="1:19" ht="18" customHeight="1">
      <c r="A199" s="75" t="s">
        <v>1177</v>
      </c>
      <c r="B199" s="76" t="s">
        <v>1066</v>
      </c>
      <c r="C199" s="76" t="s">
        <v>1178</v>
      </c>
      <c r="D199" s="11" t="s">
        <v>59</v>
      </c>
      <c r="E199" s="76" t="s">
        <v>1179</v>
      </c>
      <c r="F199" s="76" t="s">
        <v>1180</v>
      </c>
      <c r="G199" s="76" t="s">
        <v>1181</v>
      </c>
      <c r="H199" s="76" t="s">
        <v>1179</v>
      </c>
      <c r="I199" s="76" t="s">
        <v>1176</v>
      </c>
      <c r="J199" s="77">
        <v>35</v>
      </c>
      <c r="K199" s="78">
        <f t="shared" si="9"/>
        <v>1.4</v>
      </c>
      <c r="L199" s="78">
        <v>25</v>
      </c>
      <c r="M199" s="78">
        <v>3</v>
      </c>
      <c r="N199" s="79">
        <f t="shared" si="10"/>
        <v>11.666666666666666</v>
      </c>
      <c r="O199" s="80">
        <v>94.56</v>
      </c>
      <c r="P199" s="81">
        <f t="shared" si="11"/>
        <v>1103.2</v>
      </c>
      <c r="Q199" s="76" t="s">
        <v>64</v>
      </c>
      <c r="R199" s="75" t="s">
        <v>28</v>
      </c>
      <c r="S199" s="75" t="s">
        <v>138</v>
      </c>
    </row>
    <row r="200" spans="1:19" ht="18" customHeight="1">
      <c r="A200" s="54" t="s">
        <v>1182</v>
      </c>
      <c r="B200" s="55" t="s">
        <v>1183</v>
      </c>
      <c r="C200" s="55" t="s">
        <v>1184</v>
      </c>
      <c r="D200" s="12" t="s">
        <v>67</v>
      </c>
      <c r="E200" s="55" t="s">
        <v>1185</v>
      </c>
      <c r="F200" s="55" t="s">
        <v>1186</v>
      </c>
      <c r="G200" s="55" t="s">
        <v>1187</v>
      </c>
      <c r="H200" s="55" t="s">
        <v>1188</v>
      </c>
      <c r="I200" s="55" t="s">
        <v>1189</v>
      </c>
      <c r="J200" s="56">
        <v>65</v>
      </c>
      <c r="K200" s="57">
        <f t="shared" si="9"/>
        <v>1.625</v>
      </c>
      <c r="L200" s="57">
        <v>40</v>
      </c>
      <c r="M200" s="57">
        <v>3.5</v>
      </c>
      <c r="N200" s="58">
        <f t="shared" si="10"/>
        <v>18.571428571428573</v>
      </c>
      <c r="O200" s="59">
        <v>94.56</v>
      </c>
      <c r="P200" s="60">
        <f t="shared" si="11"/>
        <v>1756.1142857142859</v>
      </c>
      <c r="Q200" s="55" t="s">
        <v>27</v>
      </c>
      <c r="R200" s="54" t="s">
        <v>28</v>
      </c>
      <c r="S200" s="54" t="s">
        <v>693</v>
      </c>
    </row>
    <row r="201" spans="1:19" ht="18" customHeight="1">
      <c r="A201" s="54" t="s">
        <v>1190</v>
      </c>
      <c r="B201" s="55" t="s">
        <v>1183</v>
      </c>
      <c r="C201" s="55" t="s">
        <v>1191</v>
      </c>
      <c r="D201" s="12" t="s">
        <v>67</v>
      </c>
      <c r="E201" s="55" t="s">
        <v>1192</v>
      </c>
      <c r="F201" s="55" t="s">
        <v>1193</v>
      </c>
      <c r="G201" s="55" t="s">
        <v>1194</v>
      </c>
      <c r="H201" s="55" t="s">
        <v>1192</v>
      </c>
      <c r="I201" s="55" t="s">
        <v>1195</v>
      </c>
      <c r="J201" s="56">
        <v>20</v>
      </c>
      <c r="K201" s="57">
        <f t="shared" si="9"/>
        <v>0.5</v>
      </c>
      <c r="L201" s="57">
        <v>40</v>
      </c>
      <c r="M201" s="57">
        <v>3.5</v>
      </c>
      <c r="N201" s="58">
        <f t="shared" si="10"/>
        <v>5.7142857142857144</v>
      </c>
      <c r="O201" s="59">
        <v>94.56</v>
      </c>
      <c r="P201" s="60">
        <f t="shared" si="11"/>
        <v>540.34285714285716</v>
      </c>
      <c r="Q201" s="55" t="s">
        <v>37</v>
      </c>
      <c r="R201" s="54" t="s">
        <v>28</v>
      </c>
      <c r="S201" s="54" t="s">
        <v>693</v>
      </c>
    </row>
    <row r="202" spans="1:19" ht="18" customHeight="1">
      <c r="A202" s="54" t="s">
        <v>1196</v>
      </c>
      <c r="B202" s="55" t="s">
        <v>1183</v>
      </c>
      <c r="C202" s="55" t="s">
        <v>1197</v>
      </c>
      <c r="D202" s="4" t="s">
        <v>22</v>
      </c>
      <c r="E202" s="55" t="s">
        <v>1198</v>
      </c>
      <c r="F202" s="55" t="s">
        <v>1199</v>
      </c>
      <c r="G202" s="55" t="s">
        <v>1200</v>
      </c>
      <c r="H202" s="55" t="s">
        <v>1201</v>
      </c>
      <c r="I202" s="55" t="s">
        <v>1202</v>
      </c>
      <c r="J202" s="56">
        <v>66</v>
      </c>
      <c r="K202" s="57">
        <f t="shared" si="9"/>
        <v>1.4666666666666666</v>
      </c>
      <c r="L202" s="57">
        <v>45</v>
      </c>
      <c r="M202" s="57">
        <v>4</v>
      </c>
      <c r="N202" s="58">
        <f t="shared" si="10"/>
        <v>16.5</v>
      </c>
      <c r="O202" s="59">
        <v>94.56</v>
      </c>
      <c r="P202" s="60">
        <f t="shared" si="11"/>
        <v>1560.24</v>
      </c>
      <c r="Q202" s="55" t="s">
        <v>37</v>
      </c>
      <c r="R202" s="54" t="s">
        <v>28</v>
      </c>
      <c r="S202" s="54" t="s">
        <v>693</v>
      </c>
    </row>
    <row r="203" spans="1:19" ht="18" customHeight="1">
      <c r="A203" s="54" t="s">
        <v>1203</v>
      </c>
      <c r="B203" s="55" t="s">
        <v>1183</v>
      </c>
      <c r="C203" s="55" t="s">
        <v>1204</v>
      </c>
      <c r="D203" s="4" t="s">
        <v>22</v>
      </c>
      <c r="E203" s="55" t="s">
        <v>1205</v>
      </c>
      <c r="F203" s="55" t="s">
        <v>1206</v>
      </c>
      <c r="G203" s="55" t="s">
        <v>1207</v>
      </c>
      <c r="H203" s="55" t="s">
        <v>1208</v>
      </c>
      <c r="I203" s="55" t="s">
        <v>1209</v>
      </c>
      <c r="J203" s="56">
        <v>75</v>
      </c>
      <c r="K203" s="57">
        <f t="shared" si="9"/>
        <v>1.6666666666666667</v>
      </c>
      <c r="L203" s="57">
        <v>45</v>
      </c>
      <c r="M203" s="57">
        <v>4</v>
      </c>
      <c r="N203" s="58">
        <f t="shared" si="10"/>
        <v>18.75</v>
      </c>
      <c r="O203" s="59">
        <v>94.56</v>
      </c>
      <c r="P203" s="60">
        <f t="shared" si="11"/>
        <v>1773</v>
      </c>
      <c r="Q203" s="55" t="s">
        <v>27</v>
      </c>
      <c r="R203" s="54" t="s">
        <v>28</v>
      </c>
      <c r="S203" s="54" t="s">
        <v>693</v>
      </c>
    </row>
    <row r="204" spans="1:19" ht="18" customHeight="1">
      <c r="A204" s="54" t="s">
        <v>1210</v>
      </c>
      <c r="B204" s="55" t="s">
        <v>1183</v>
      </c>
      <c r="C204" s="55" t="s">
        <v>1211</v>
      </c>
      <c r="D204" s="10" t="s">
        <v>45</v>
      </c>
      <c r="E204" s="55" t="s">
        <v>1212</v>
      </c>
      <c r="F204" s="55" t="s">
        <v>1213</v>
      </c>
      <c r="G204" s="55" t="s">
        <v>1214</v>
      </c>
      <c r="H204" s="55" t="s">
        <v>1215</v>
      </c>
      <c r="I204" s="55" t="s">
        <v>1216</v>
      </c>
      <c r="J204" s="56">
        <v>15</v>
      </c>
      <c r="K204" s="57">
        <f t="shared" si="9"/>
        <v>0.75</v>
      </c>
      <c r="L204" s="57">
        <v>20</v>
      </c>
      <c r="M204" s="57">
        <v>3.5</v>
      </c>
      <c r="N204" s="58">
        <f t="shared" si="10"/>
        <v>4.2857142857142856</v>
      </c>
      <c r="O204" s="59">
        <v>94.56</v>
      </c>
      <c r="P204" s="60">
        <f t="shared" si="11"/>
        <v>405.25714285714287</v>
      </c>
      <c r="Q204" s="55" t="s">
        <v>37</v>
      </c>
      <c r="R204" s="54" t="s">
        <v>28</v>
      </c>
      <c r="S204" s="54" t="s">
        <v>693</v>
      </c>
    </row>
    <row r="205" spans="1:19" ht="18" customHeight="1">
      <c r="A205" s="54" t="s">
        <v>1217</v>
      </c>
      <c r="B205" s="55" t="s">
        <v>1183</v>
      </c>
      <c r="C205" s="55" t="s">
        <v>1218</v>
      </c>
      <c r="D205" s="10" t="s">
        <v>45</v>
      </c>
      <c r="E205" s="55" t="s">
        <v>1219</v>
      </c>
      <c r="F205" s="55" t="s">
        <v>1220</v>
      </c>
      <c r="G205" s="55" t="s">
        <v>1206</v>
      </c>
      <c r="H205" s="55" t="s">
        <v>1206</v>
      </c>
      <c r="I205" s="55" t="s">
        <v>1221</v>
      </c>
      <c r="J205" s="56">
        <v>5</v>
      </c>
      <c r="K205" s="57">
        <f t="shared" si="9"/>
        <v>0.25</v>
      </c>
      <c r="L205" s="57">
        <v>20</v>
      </c>
      <c r="M205" s="57">
        <v>3.5</v>
      </c>
      <c r="N205" s="58">
        <f t="shared" si="10"/>
        <v>1.4285714285714286</v>
      </c>
      <c r="O205" s="59">
        <v>94.56</v>
      </c>
      <c r="P205" s="60">
        <f t="shared" si="11"/>
        <v>135.08571428571429</v>
      </c>
      <c r="Q205" s="55" t="s">
        <v>37</v>
      </c>
      <c r="R205" s="54" t="s">
        <v>28</v>
      </c>
      <c r="S205" s="54" t="s">
        <v>693</v>
      </c>
    </row>
    <row r="206" spans="1:19" ht="18" customHeight="1">
      <c r="A206" s="54" t="s">
        <v>1222</v>
      </c>
      <c r="B206" s="55" t="s">
        <v>1183</v>
      </c>
      <c r="C206" s="55" t="s">
        <v>1223</v>
      </c>
      <c r="D206" s="10" t="s">
        <v>45</v>
      </c>
      <c r="E206" s="55" t="s">
        <v>1224</v>
      </c>
      <c r="F206" s="55" t="s">
        <v>1225</v>
      </c>
      <c r="G206" s="55" t="s">
        <v>1198</v>
      </c>
      <c r="H206" s="55" t="s">
        <v>1198</v>
      </c>
      <c r="I206" s="55" t="s">
        <v>1226</v>
      </c>
      <c r="J206" s="56">
        <v>10</v>
      </c>
      <c r="K206" s="57">
        <f t="shared" si="9"/>
        <v>0.5</v>
      </c>
      <c r="L206" s="57">
        <v>20</v>
      </c>
      <c r="M206" s="57">
        <v>3.5</v>
      </c>
      <c r="N206" s="58">
        <f t="shared" si="10"/>
        <v>2.8571428571428572</v>
      </c>
      <c r="O206" s="59">
        <v>94.56</v>
      </c>
      <c r="P206" s="60">
        <f t="shared" si="11"/>
        <v>270.17142857142858</v>
      </c>
      <c r="Q206" s="55" t="s">
        <v>37</v>
      </c>
      <c r="R206" s="54" t="s">
        <v>28</v>
      </c>
      <c r="S206" s="54" t="s">
        <v>693</v>
      </c>
    </row>
    <row r="207" spans="1:19" ht="18" customHeight="1">
      <c r="A207" s="54" t="s">
        <v>1227</v>
      </c>
      <c r="B207" s="55" t="s">
        <v>1183</v>
      </c>
      <c r="C207" s="55" t="s">
        <v>1228</v>
      </c>
      <c r="D207" s="13" t="s">
        <v>81</v>
      </c>
      <c r="E207" s="55" t="s">
        <v>1198</v>
      </c>
      <c r="F207" s="55" t="s">
        <v>1229</v>
      </c>
      <c r="G207" s="55" t="s">
        <v>1230</v>
      </c>
      <c r="H207" s="55" t="s">
        <v>1198</v>
      </c>
      <c r="I207" s="55" t="s">
        <v>1202</v>
      </c>
      <c r="J207" s="56">
        <v>80</v>
      </c>
      <c r="K207" s="57">
        <f t="shared" si="9"/>
        <v>1.6</v>
      </c>
      <c r="L207" s="57">
        <v>50</v>
      </c>
      <c r="M207" s="57">
        <v>4.5</v>
      </c>
      <c r="N207" s="58">
        <f t="shared" si="10"/>
        <v>17.777777777777779</v>
      </c>
      <c r="O207" s="59">
        <v>94.56</v>
      </c>
      <c r="P207" s="60">
        <f t="shared" si="11"/>
        <v>1681.0666666666668</v>
      </c>
      <c r="Q207" s="55" t="s">
        <v>37</v>
      </c>
      <c r="R207" s="54" t="s">
        <v>85</v>
      </c>
      <c r="S207" s="54" t="s">
        <v>86</v>
      </c>
    </row>
    <row r="208" spans="1:19" ht="18" customHeight="1">
      <c r="A208" s="54" t="s">
        <v>1231</v>
      </c>
      <c r="B208" s="55" t="s">
        <v>1183</v>
      </c>
      <c r="C208" s="55" t="s">
        <v>1232</v>
      </c>
      <c r="D208" s="13" t="s">
        <v>81</v>
      </c>
      <c r="E208" s="55" t="s">
        <v>1233</v>
      </c>
      <c r="F208" s="55" t="s">
        <v>1234</v>
      </c>
      <c r="G208" s="55" t="s">
        <v>1235</v>
      </c>
      <c r="H208" s="55" t="s">
        <v>1236</v>
      </c>
      <c r="I208" s="55" t="s">
        <v>1237</v>
      </c>
      <c r="J208" s="56">
        <v>155</v>
      </c>
      <c r="K208" s="57">
        <f t="shared" si="9"/>
        <v>3.1</v>
      </c>
      <c r="L208" s="57">
        <v>50</v>
      </c>
      <c r="M208" s="57">
        <v>4.5</v>
      </c>
      <c r="N208" s="58">
        <f t="shared" si="10"/>
        <v>34.444444444444443</v>
      </c>
      <c r="O208" s="59">
        <v>94.56</v>
      </c>
      <c r="P208" s="60">
        <f t="shared" si="11"/>
        <v>3257.0666666666666</v>
      </c>
      <c r="Q208" s="55" t="s">
        <v>37</v>
      </c>
      <c r="R208" s="54" t="s">
        <v>85</v>
      </c>
      <c r="S208" s="54" t="s">
        <v>86</v>
      </c>
    </row>
    <row r="209" spans="1:19" ht="18" customHeight="1">
      <c r="A209" s="54" t="s">
        <v>1238</v>
      </c>
      <c r="B209" s="55" t="s">
        <v>1183</v>
      </c>
      <c r="C209" s="55" t="s">
        <v>1239</v>
      </c>
      <c r="D209" s="13" t="s">
        <v>81</v>
      </c>
      <c r="E209" s="55" t="s">
        <v>1206</v>
      </c>
      <c r="F209" s="55" t="s">
        <v>1198</v>
      </c>
      <c r="G209" s="55" t="s">
        <v>1240</v>
      </c>
      <c r="H209" s="55" t="s">
        <v>1241</v>
      </c>
      <c r="I209" s="55" t="s">
        <v>1242</v>
      </c>
      <c r="J209" s="56">
        <v>490</v>
      </c>
      <c r="K209" s="57">
        <f t="shared" si="9"/>
        <v>9.8000000000000007</v>
      </c>
      <c r="L209" s="57">
        <v>50</v>
      </c>
      <c r="M209" s="57">
        <v>4.5</v>
      </c>
      <c r="N209" s="58">
        <f t="shared" si="10"/>
        <v>108.88888888888889</v>
      </c>
      <c r="O209" s="59">
        <v>94.56</v>
      </c>
      <c r="P209" s="60">
        <f t="shared" si="11"/>
        <v>10296.533333333333</v>
      </c>
      <c r="Q209" s="55" t="s">
        <v>37</v>
      </c>
      <c r="R209" s="54" t="s">
        <v>85</v>
      </c>
      <c r="S209" s="54" t="s">
        <v>86</v>
      </c>
    </row>
    <row r="210" spans="1:19" ht="18" customHeight="1">
      <c r="A210" s="54" t="s">
        <v>1243</v>
      </c>
      <c r="B210" s="55" t="s">
        <v>1183</v>
      </c>
      <c r="C210" s="55" t="s">
        <v>1244</v>
      </c>
      <c r="D210" s="13" t="s">
        <v>81</v>
      </c>
      <c r="E210" s="55" t="s">
        <v>1206</v>
      </c>
      <c r="F210" s="55" t="s">
        <v>1245</v>
      </c>
      <c r="G210" s="55" t="s">
        <v>1246</v>
      </c>
      <c r="H210" s="55" t="s">
        <v>1247</v>
      </c>
      <c r="I210" s="55" t="s">
        <v>1195</v>
      </c>
      <c r="J210" s="56">
        <v>150</v>
      </c>
      <c r="K210" s="57">
        <f t="shared" si="9"/>
        <v>3</v>
      </c>
      <c r="L210" s="57">
        <v>50</v>
      </c>
      <c r="M210" s="57">
        <v>4.5</v>
      </c>
      <c r="N210" s="58">
        <f t="shared" si="10"/>
        <v>33.333333333333336</v>
      </c>
      <c r="O210" s="59">
        <v>94.56</v>
      </c>
      <c r="P210" s="60">
        <f t="shared" si="11"/>
        <v>3152.0000000000005</v>
      </c>
      <c r="Q210" s="55" t="s">
        <v>27</v>
      </c>
      <c r="R210" s="54" t="s">
        <v>85</v>
      </c>
      <c r="S210" s="54" t="s">
        <v>86</v>
      </c>
    </row>
    <row r="211" spans="1:19" ht="18" customHeight="1">
      <c r="A211" s="54" t="s">
        <v>1248</v>
      </c>
      <c r="B211" s="55" t="s">
        <v>1183</v>
      </c>
      <c r="C211" s="55" t="s">
        <v>1249</v>
      </c>
      <c r="D211" s="13" t="s">
        <v>81</v>
      </c>
      <c r="E211" s="55" t="s">
        <v>1215</v>
      </c>
      <c r="F211" s="55" t="s">
        <v>1234</v>
      </c>
      <c r="G211" s="55" t="s">
        <v>1236</v>
      </c>
      <c r="H211" s="55" t="s">
        <v>1236</v>
      </c>
      <c r="I211" s="55" t="s">
        <v>1250</v>
      </c>
      <c r="J211" s="56">
        <v>140</v>
      </c>
      <c r="K211" s="57">
        <f t="shared" si="9"/>
        <v>2.8</v>
      </c>
      <c r="L211" s="57">
        <v>50</v>
      </c>
      <c r="M211" s="57">
        <v>4.5</v>
      </c>
      <c r="N211" s="58">
        <f t="shared" si="10"/>
        <v>31.111111111111111</v>
      </c>
      <c r="O211" s="59">
        <v>94.56</v>
      </c>
      <c r="P211" s="60">
        <f t="shared" si="11"/>
        <v>2941.8666666666668</v>
      </c>
      <c r="Q211" s="55" t="s">
        <v>37</v>
      </c>
      <c r="R211" s="54" t="s">
        <v>85</v>
      </c>
      <c r="S211" s="54" t="s">
        <v>86</v>
      </c>
    </row>
    <row r="212" spans="1:19" ht="18" customHeight="1">
      <c r="A212" s="54" t="s">
        <v>1251</v>
      </c>
      <c r="B212" s="55" t="s">
        <v>1183</v>
      </c>
      <c r="C212" s="55" t="s">
        <v>1252</v>
      </c>
      <c r="D212" s="11" t="s">
        <v>59</v>
      </c>
      <c r="E212" s="55" t="s">
        <v>1253</v>
      </c>
      <c r="F212" s="55" t="s">
        <v>1254</v>
      </c>
      <c r="G212" s="55" t="s">
        <v>1255</v>
      </c>
      <c r="H212" s="55" t="s">
        <v>1253</v>
      </c>
      <c r="I212" s="55" t="s">
        <v>1256</v>
      </c>
      <c r="J212" s="56">
        <v>30</v>
      </c>
      <c r="K212" s="57">
        <f t="shared" si="9"/>
        <v>1.2</v>
      </c>
      <c r="L212" s="57">
        <v>25</v>
      </c>
      <c r="M212" s="57">
        <v>3</v>
      </c>
      <c r="N212" s="58">
        <f t="shared" si="10"/>
        <v>10</v>
      </c>
      <c r="O212" s="59">
        <v>94.56</v>
      </c>
      <c r="P212" s="60">
        <f t="shared" si="11"/>
        <v>945.6</v>
      </c>
      <c r="Q212" s="55" t="s">
        <v>27</v>
      </c>
      <c r="R212" s="54" t="s">
        <v>28</v>
      </c>
      <c r="S212" s="54" t="s">
        <v>524</v>
      </c>
    </row>
    <row r="213" spans="1:19" ht="18" customHeight="1">
      <c r="A213" s="54" t="s">
        <v>1257</v>
      </c>
      <c r="B213" s="55" t="s">
        <v>1183</v>
      </c>
      <c r="C213" s="55" t="s">
        <v>1258</v>
      </c>
      <c r="D213" s="11" t="s">
        <v>59</v>
      </c>
      <c r="E213" s="55" t="s">
        <v>1186</v>
      </c>
      <c r="F213" s="55" t="s">
        <v>1259</v>
      </c>
      <c r="G213" s="55" t="s">
        <v>1260</v>
      </c>
      <c r="H213" s="55" t="s">
        <v>1188</v>
      </c>
      <c r="I213" s="55" t="s">
        <v>1189</v>
      </c>
      <c r="J213" s="56">
        <v>25</v>
      </c>
      <c r="K213" s="57">
        <f t="shared" si="9"/>
        <v>1</v>
      </c>
      <c r="L213" s="57">
        <v>25</v>
      </c>
      <c r="M213" s="57">
        <v>3</v>
      </c>
      <c r="N213" s="58">
        <f t="shared" si="10"/>
        <v>8.3333333333333339</v>
      </c>
      <c r="O213" s="59">
        <v>94.56</v>
      </c>
      <c r="P213" s="60">
        <f t="shared" si="11"/>
        <v>788.00000000000011</v>
      </c>
      <c r="Q213" s="55" t="s">
        <v>27</v>
      </c>
      <c r="R213" s="54" t="s">
        <v>28</v>
      </c>
      <c r="S213" s="54" t="s">
        <v>524</v>
      </c>
    </row>
    <row r="214" spans="1:19" ht="18" customHeight="1">
      <c r="A214" s="54" t="s">
        <v>1261</v>
      </c>
      <c r="B214" s="55" t="s">
        <v>1183</v>
      </c>
      <c r="C214" s="55" t="s">
        <v>1262</v>
      </c>
      <c r="D214" s="4" t="s">
        <v>22</v>
      </c>
      <c r="E214" s="55" t="s">
        <v>1263</v>
      </c>
      <c r="F214" s="55" t="s">
        <v>1264</v>
      </c>
      <c r="G214" s="55" t="s">
        <v>1265</v>
      </c>
      <c r="H214" s="55" t="s">
        <v>1263</v>
      </c>
      <c r="I214" s="55" t="s">
        <v>1250</v>
      </c>
      <c r="J214" s="56">
        <v>30</v>
      </c>
      <c r="K214" s="57">
        <f t="shared" si="9"/>
        <v>0.66666666666666663</v>
      </c>
      <c r="L214" s="57">
        <v>45</v>
      </c>
      <c r="M214" s="57">
        <v>4</v>
      </c>
      <c r="N214" s="58">
        <f t="shared" si="10"/>
        <v>7.5</v>
      </c>
      <c r="O214" s="59">
        <v>94.56</v>
      </c>
      <c r="P214" s="60">
        <f t="shared" si="11"/>
        <v>709.2</v>
      </c>
      <c r="Q214" s="55" t="s">
        <v>37</v>
      </c>
      <c r="R214" s="54" t="s">
        <v>28</v>
      </c>
      <c r="S214" s="54" t="s">
        <v>125</v>
      </c>
    </row>
    <row r="215" spans="1:19" ht="18" customHeight="1">
      <c r="A215" s="54" t="s">
        <v>1266</v>
      </c>
      <c r="B215" s="55" t="s">
        <v>1183</v>
      </c>
      <c r="C215" s="55" t="s">
        <v>1267</v>
      </c>
      <c r="D215" s="4" t="s">
        <v>22</v>
      </c>
      <c r="E215" s="55" t="s">
        <v>1234</v>
      </c>
      <c r="F215" s="55" t="s">
        <v>1268</v>
      </c>
      <c r="G215" s="55" t="s">
        <v>1269</v>
      </c>
      <c r="H215" s="55" t="s">
        <v>1234</v>
      </c>
      <c r="I215" s="55" t="s">
        <v>1234</v>
      </c>
      <c r="J215" s="56">
        <v>20</v>
      </c>
      <c r="K215" s="57">
        <f t="shared" si="9"/>
        <v>0.44444444444444442</v>
      </c>
      <c r="L215" s="57">
        <v>45</v>
      </c>
      <c r="M215" s="57">
        <v>4</v>
      </c>
      <c r="N215" s="58">
        <f t="shared" si="10"/>
        <v>5</v>
      </c>
      <c r="O215" s="59">
        <v>94.56</v>
      </c>
      <c r="P215" s="60">
        <f t="shared" si="11"/>
        <v>472.8</v>
      </c>
      <c r="Q215" s="55" t="s">
        <v>37</v>
      </c>
      <c r="R215" s="54" t="s">
        <v>28</v>
      </c>
      <c r="S215" s="54" t="s">
        <v>125</v>
      </c>
    </row>
    <row r="216" spans="1:19" ht="18" customHeight="1">
      <c r="A216" s="54" t="s">
        <v>1270</v>
      </c>
      <c r="B216" s="55" t="s">
        <v>1183</v>
      </c>
      <c r="C216" s="55" t="s">
        <v>1271</v>
      </c>
      <c r="D216" s="11" t="s">
        <v>59</v>
      </c>
      <c r="E216" s="55" t="s">
        <v>1199</v>
      </c>
      <c r="F216" s="55" t="s">
        <v>1272</v>
      </c>
      <c r="G216" s="55" t="s">
        <v>1273</v>
      </c>
      <c r="H216" s="55" t="s">
        <v>1199</v>
      </c>
      <c r="I216" s="55" t="s">
        <v>1274</v>
      </c>
      <c r="J216" s="56">
        <v>15</v>
      </c>
      <c r="K216" s="57">
        <f t="shared" si="9"/>
        <v>0.6</v>
      </c>
      <c r="L216" s="57">
        <v>25</v>
      </c>
      <c r="M216" s="57">
        <v>3</v>
      </c>
      <c r="N216" s="58">
        <f t="shared" si="10"/>
        <v>5</v>
      </c>
      <c r="O216" s="59">
        <v>94.56</v>
      </c>
      <c r="P216" s="60">
        <f t="shared" si="11"/>
        <v>472.8</v>
      </c>
      <c r="Q216" s="55" t="s">
        <v>27</v>
      </c>
      <c r="R216" s="54" t="s">
        <v>28</v>
      </c>
      <c r="S216" s="54" t="s">
        <v>138</v>
      </c>
    </row>
    <row r="217" spans="1:19" ht="18" customHeight="1">
      <c r="A217" s="54" t="s">
        <v>1275</v>
      </c>
      <c r="B217" s="55" t="s">
        <v>1183</v>
      </c>
      <c r="C217" s="55" t="s">
        <v>1276</v>
      </c>
      <c r="D217" s="11" t="s">
        <v>59</v>
      </c>
      <c r="E217" s="55" t="s">
        <v>1277</v>
      </c>
      <c r="F217" s="55" t="s">
        <v>1278</v>
      </c>
      <c r="G217" s="55" t="s">
        <v>1279</v>
      </c>
      <c r="H217" s="55" t="s">
        <v>1280</v>
      </c>
      <c r="I217" s="55" t="s">
        <v>1281</v>
      </c>
      <c r="J217" s="56">
        <v>40</v>
      </c>
      <c r="K217" s="57">
        <f t="shared" si="9"/>
        <v>1.6</v>
      </c>
      <c r="L217" s="57">
        <v>25</v>
      </c>
      <c r="M217" s="57">
        <v>3</v>
      </c>
      <c r="N217" s="58">
        <f t="shared" si="10"/>
        <v>13.333333333333334</v>
      </c>
      <c r="O217" s="59">
        <v>94.56</v>
      </c>
      <c r="P217" s="60">
        <f t="shared" si="11"/>
        <v>1260.8000000000002</v>
      </c>
      <c r="Q217" s="55" t="s">
        <v>64</v>
      </c>
      <c r="R217" s="54" t="s">
        <v>28</v>
      </c>
      <c r="S217" s="54" t="s">
        <v>138</v>
      </c>
    </row>
    <row r="218" spans="1:19" ht="18" customHeight="1">
      <c r="A218" s="47" t="s">
        <v>1282</v>
      </c>
      <c r="B218" s="48" t="s">
        <v>1283</v>
      </c>
      <c r="C218" s="48" t="s">
        <v>1284</v>
      </c>
      <c r="D218" s="12" t="s">
        <v>67</v>
      </c>
      <c r="E218" s="48" t="s">
        <v>1285</v>
      </c>
      <c r="F218" s="48" t="s">
        <v>1286</v>
      </c>
      <c r="G218" s="48" t="s">
        <v>1287</v>
      </c>
      <c r="H218" s="48" t="s">
        <v>1287</v>
      </c>
      <c r="I218" s="48" t="s">
        <v>1288</v>
      </c>
      <c r="J218" s="49">
        <v>75</v>
      </c>
      <c r="K218" s="50">
        <f t="shared" si="9"/>
        <v>1.875</v>
      </c>
      <c r="L218" s="50">
        <v>40</v>
      </c>
      <c r="M218" s="50">
        <v>3.5</v>
      </c>
      <c r="N218" s="51">
        <f t="shared" si="10"/>
        <v>21.428571428571427</v>
      </c>
      <c r="O218" s="52">
        <v>94.56</v>
      </c>
      <c r="P218" s="53">
        <f t="shared" si="11"/>
        <v>2026.2857142857142</v>
      </c>
      <c r="Q218" s="48" t="s">
        <v>27</v>
      </c>
      <c r="R218" s="47" t="s">
        <v>28</v>
      </c>
      <c r="S218" s="47" t="s">
        <v>72</v>
      </c>
    </row>
    <row r="219" spans="1:19" ht="18" customHeight="1">
      <c r="A219" s="47" t="s">
        <v>1289</v>
      </c>
      <c r="B219" s="48" t="s">
        <v>1283</v>
      </c>
      <c r="C219" s="48" t="s">
        <v>1290</v>
      </c>
      <c r="D219" s="12" t="s">
        <v>67</v>
      </c>
      <c r="E219" s="48" t="s">
        <v>1291</v>
      </c>
      <c r="F219" s="48" t="s">
        <v>1292</v>
      </c>
      <c r="G219" s="48" t="s">
        <v>1293</v>
      </c>
      <c r="H219" s="48" t="s">
        <v>1293</v>
      </c>
      <c r="I219" s="48" t="s">
        <v>1294</v>
      </c>
      <c r="J219" s="49">
        <v>55</v>
      </c>
      <c r="K219" s="50">
        <f t="shared" si="9"/>
        <v>1.375</v>
      </c>
      <c r="L219" s="50">
        <v>40</v>
      </c>
      <c r="M219" s="50">
        <v>3.5</v>
      </c>
      <c r="N219" s="51">
        <f t="shared" si="10"/>
        <v>15.714285714285714</v>
      </c>
      <c r="O219" s="52">
        <v>94.56</v>
      </c>
      <c r="P219" s="53">
        <f t="shared" si="11"/>
        <v>1485.9428571428571</v>
      </c>
      <c r="Q219" s="48" t="s">
        <v>27</v>
      </c>
      <c r="R219" s="47" t="s">
        <v>28</v>
      </c>
      <c r="S219" s="47" t="s">
        <v>72</v>
      </c>
    </row>
    <row r="220" spans="1:19" ht="18" customHeight="1">
      <c r="A220" s="47" t="s">
        <v>1295</v>
      </c>
      <c r="B220" s="48" t="s">
        <v>1283</v>
      </c>
      <c r="C220" s="48" t="s">
        <v>1296</v>
      </c>
      <c r="D220" s="4" t="s">
        <v>22</v>
      </c>
      <c r="E220" s="48" t="s">
        <v>1297</v>
      </c>
      <c r="F220" s="48" t="s">
        <v>1298</v>
      </c>
      <c r="G220" s="48" t="s">
        <v>1299</v>
      </c>
      <c r="H220" s="48" t="s">
        <v>1299</v>
      </c>
      <c r="I220" s="48" t="s">
        <v>1300</v>
      </c>
      <c r="J220" s="49">
        <v>55</v>
      </c>
      <c r="K220" s="50">
        <f t="shared" si="9"/>
        <v>1.2222222222222223</v>
      </c>
      <c r="L220" s="50">
        <v>45</v>
      </c>
      <c r="M220" s="50">
        <v>4</v>
      </c>
      <c r="N220" s="51">
        <f t="shared" si="10"/>
        <v>13.75</v>
      </c>
      <c r="O220" s="52">
        <v>94.56</v>
      </c>
      <c r="P220" s="53">
        <f t="shared" si="11"/>
        <v>1300.2</v>
      </c>
      <c r="Q220" s="48" t="s">
        <v>37</v>
      </c>
      <c r="R220" s="47" t="s">
        <v>28</v>
      </c>
      <c r="S220" s="47" t="s">
        <v>72</v>
      </c>
    </row>
    <row r="221" spans="1:19" ht="18" customHeight="1">
      <c r="A221" s="47" t="s">
        <v>1301</v>
      </c>
      <c r="B221" s="48" t="s">
        <v>1283</v>
      </c>
      <c r="C221" s="48" t="s">
        <v>1302</v>
      </c>
      <c r="D221" s="4" t="s">
        <v>22</v>
      </c>
      <c r="E221" s="48" t="s">
        <v>1303</v>
      </c>
      <c r="F221" s="48" t="s">
        <v>1304</v>
      </c>
      <c r="G221" s="48" t="s">
        <v>1305</v>
      </c>
      <c r="H221" s="48" t="s">
        <v>1305</v>
      </c>
      <c r="I221" s="48" t="s">
        <v>1288</v>
      </c>
      <c r="J221" s="49">
        <v>75</v>
      </c>
      <c r="K221" s="50">
        <f t="shared" si="9"/>
        <v>1.6666666666666667</v>
      </c>
      <c r="L221" s="50">
        <v>45</v>
      </c>
      <c r="M221" s="50">
        <v>4</v>
      </c>
      <c r="N221" s="51">
        <f t="shared" si="10"/>
        <v>18.75</v>
      </c>
      <c r="O221" s="52">
        <v>94.56</v>
      </c>
      <c r="P221" s="53">
        <f t="shared" si="11"/>
        <v>1773</v>
      </c>
      <c r="Q221" s="48" t="s">
        <v>37</v>
      </c>
      <c r="R221" s="47" t="s">
        <v>28</v>
      </c>
      <c r="S221" s="47" t="s">
        <v>72</v>
      </c>
    </row>
    <row r="222" spans="1:19" ht="18" customHeight="1">
      <c r="A222" s="47" t="s">
        <v>1306</v>
      </c>
      <c r="B222" s="48" t="s">
        <v>1283</v>
      </c>
      <c r="C222" s="48" t="s">
        <v>1307</v>
      </c>
      <c r="D222" s="10" t="s">
        <v>45</v>
      </c>
      <c r="E222" s="48" t="s">
        <v>1308</v>
      </c>
      <c r="F222" s="48" t="s">
        <v>1309</v>
      </c>
      <c r="G222" s="48" t="s">
        <v>1303</v>
      </c>
      <c r="H222" s="48" t="s">
        <v>1303</v>
      </c>
      <c r="I222" s="48" t="s">
        <v>1310</v>
      </c>
      <c r="J222" s="49">
        <v>20</v>
      </c>
      <c r="K222" s="50">
        <f t="shared" si="9"/>
        <v>1</v>
      </c>
      <c r="L222" s="50">
        <v>20</v>
      </c>
      <c r="M222" s="50">
        <v>3.5</v>
      </c>
      <c r="N222" s="51">
        <f t="shared" si="10"/>
        <v>5.7142857142857144</v>
      </c>
      <c r="O222" s="52">
        <v>94.56</v>
      </c>
      <c r="P222" s="53">
        <f t="shared" si="11"/>
        <v>540.34285714285716</v>
      </c>
      <c r="Q222" s="48" t="s">
        <v>37</v>
      </c>
      <c r="R222" s="47" t="s">
        <v>28</v>
      </c>
      <c r="S222" s="47" t="s">
        <v>72</v>
      </c>
    </row>
    <row r="223" spans="1:19" ht="18" customHeight="1">
      <c r="A223" s="47" t="s">
        <v>1311</v>
      </c>
      <c r="B223" s="48" t="s">
        <v>1283</v>
      </c>
      <c r="C223" s="48" t="s">
        <v>1312</v>
      </c>
      <c r="D223" s="10" t="s">
        <v>45</v>
      </c>
      <c r="E223" s="48" t="s">
        <v>1313</v>
      </c>
      <c r="F223" s="48" t="s">
        <v>1314</v>
      </c>
      <c r="G223" s="48" t="s">
        <v>1297</v>
      </c>
      <c r="H223" s="48" t="s">
        <v>1297</v>
      </c>
      <c r="I223" s="48" t="s">
        <v>1315</v>
      </c>
      <c r="J223" s="49">
        <v>40</v>
      </c>
      <c r="K223" s="50">
        <f t="shared" si="9"/>
        <v>2</v>
      </c>
      <c r="L223" s="50">
        <v>20</v>
      </c>
      <c r="M223" s="50">
        <v>3.5</v>
      </c>
      <c r="N223" s="51">
        <f t="shared" si="10"/>
        <v>11.428571428571429</v>
      </c>
      <c r="O223" s="52">
        <v>94.56</v>
      </c>
      <c r="P223" s="53">
        <f t="shared" si="11"/>
        <v>1080.6857142857143</v>
      </c>
      <c r="Q223" s="48" t="s">
        <v>37</v>
      </c>
      <c r="R223" s="47" t="s">
        <v>28</v>
      </c>
      <c r="S223" s="47" t="s">
        <v>72</v>
      </c>
    </row>
    <row r="224" spans="1:19" ht="18" customHeight="1">
      <c r="A224" s="47" t="s">
        <v>1316</v>
      </c>
      <c r="B224" s="48" t="s">
        <v>1283</v>
      </c>
      <c r="C224" s="48" t="s">
        <v>1317</v>
      </c>
      <c r="D224" s="10" t="s">
        <v>45</v>
      </c>
      <c r="E224" s="48" t="s">
        <v>1318</v>
      </c>
      <c r="F224" s="48" t="s">
        <v>1319</v>
      </c>
      <c r="G224" s="48" t="s">
        <v>1320</v>
      </c>
      <c r="H224" s="48" t="s">
        <v>1320</v>
      </c>
      <c r="I224" s="48" t="s">
        <v>1321</v>
      </c>
      <c r="J224" s="49">
        <v>15</v>
      </c>
      <c r="K224" s="50">
        <f t="shared" si="9"/>
        <v>0.75</v>
      </c>
      <c r="L224" s="50">
        <v>20</v>
      </c>
      <c r="M224" s="50">
        <v>3.5</v>
      </c>
      <c r="N224" s="51">
        <f t="shared" si="10"/>
        <v>4.2857142857142856</v>
      </c>
      <c r="O224" s="52">
        <v>94.56</v>
      </c>
      <c r="P224" s="53">
        <f t="shared" si="11"/>
        <v>405.25714285714287</v>
      </c>
      <c r="Q224" s="48" t="s">
        <v>27</v>
      </c>
      <c r="R224" s="47" t="s">
        <v>28</v>
      </c>
      <c r="S224" s="47" t="s">
        <v>72</v>
      </c>
    </row>
    <row r="225" spans="1:19" ht="18" customHeight="1">
      <c r="A225" s="47" t="s">
        <v>1322</v>
      </c>
      <c r="B225" s="48" t="s">
        <v>1283</v>
      </c>
      <c r="C225" s="48" t="s">
        <v>1323</v>
      </c>
      <c r="D225" s="13" t="s">
        <v>81</v>
      </c>
      <c r="E225" s="48" t="s">
        <v>1320</v>
      </c>
      <c r="F225" s="48" t="s">
        <v>1324</v>
      </c>
      <c r="G225" s="48" t="s">
        <v>1325</v>
      </c>
      <c r="H225" s="48" t="s">
        <v>1326</v>
      </c>
      <c r="I225" s="48" t="s">
        <v>1288</v>
      </c>
      <c r="J225" s="49">
        <v>500</v>
      </c>
      <c r="K225" s="50">
        <f t="shared" si="9"/>
        <v>10</v>
      </c>
      <c r="L225" s="50">
        <v>50</v>
      </c>
      <c r="M225" s="50">
        <v>4.5</v>
      </c>
      <c r="N225" s="51">
        <f t="shared" si="10"/>
        <v>111.11111111111111</v>
      </c>
      <c r="O225" s="52">
        <v>94.56</v>
      </c>
      <c r="P225" s="53">
        <f t="shared" si="11"/>
        <v>10506.666666666668</v>
      </c>
      <c r="Q225" s="48" t="s">
        <v>37</v>
      </c>
      <c r="R225" s="47" t="s">
        <v>85</v>
      </c>
      <c r="S225" s="47" t="s">
        <v>86</v>
      </c>
    </row>
    <row r="226" spans="1:19" ht="18" customHeight="1">
      <c r="A226" s="47" t="s">
        <v>1327</v>
      </c>
      <c r="B226" s="48" t="s">
        <v>1283</v>
      </c>
      <c r="C226" s="48" t="s">
        <v>1328</v>
      </c>
      <c r="D226" s="13" t="s">
        <v>81</v>
      </c>
      <c r="E226" s="48" t="s">
        <v>1329</v>
      </c>
      <c r="F226" s="48" t="s">
        <v>1297</v>
      </c>
      <c r="G226" s="48" t="s">
        <v>1330</v>
      </c>
      <c r="H226" s="48" t="s">
        <v>1331</v>
      </c>
      <c r="I226" s="48" t="s">
        <v>1332</v>
      </c>
      <c r="J226" s="49">
        <v>375</v>
      </c>
      <c r="K226" s="50">
        <f t="shared" si="9"/>
        <v>7.5</v>
      </c>
      <c r="L226" s="50">
        <v>50</v>
      </c>
      <c r="M226" s="50">
        <v>4.5</v>
      </c>
      <c r="N226" s="51">
        <f t="shared" si="10"/>
        <v>83.333333333333329</v>
      </c>
      <c r="O226" s="52">
        <v>94.56</v>
      </c>
      <c r="P226" s="53">
        <f t="shared" si="11"/>
        <v>7880</v>
      </c>
      <c r="Q226" s="48" t="s">
        <v>37</v>
      </c>
      <c r="R226" s="47" t="s">
        <v>85</v>
      </c>
      <c r="S226" s="47" t="s">
        <v>86</v>
      </c>
    </row>
    <row r="227" spans="1:19" ht="18" customHeight="1">
      <c r="A227" s="47" t="s">
        <v>1333</v>
      </c>
      <c r="B227" s="48" t="s">
        <v>1283</v>
      </c>
      <c r="C227" s="48" t="s">
        <v>1334</v>
      </c>
      <c r="D227" s="13" t="s">
        <v>81</v>
      </c>
      <c r="E227" s="48" t="s">
        <v>1303</v>
      </c>
      <c r="F227" s="48" t="s">
        <v>1335</v>
      </c>
      <c r="G227" s="48" t="s">
        <v>1336</v>
      </c>
      <c r="H227" s="48" t="s">
        <v>1337</v>
      </c>
      <c r="I227" s="48" t="s">
        <v>1338</v>
      </c>
      <c r="J227" s="49">
        <v>430</v>
      </c>
      <c r="K227" s="50">
        <f t="shared" si="9"/>
        <v>8.6</v>
      </c>
      <c r="L227" s="50">
        <v>50</v>
      </c>
      <c r="M227" s="50">
        <v>4.5</v>
      </c>
      <c r="N227" s="51">
        <f t="shared" si="10"/>
        <v>95.555555555555557</v>
      </c>
      <c r="O227" s="52">
        <v>94.56</v>
      </c>
      <c r="P227" s="53">
        <f t="shared" si="11"/>
        <v>9035.7333333333336</v>
      </c>
      <c r="Q227" s="48" t="s">
        <v>37</v>
      </c>
      <c r="R227" s="47" t="s">
        <v>85</v>
      </c>
      <c r="S227" s="47" t="s">
        <v>86</v>
      </c>
    </row>
    <row r="228" spans="1:19" ht="18" customHeight="1">
      <c r="A228" s="47" t="s">
        <v>1339</v>
      </c>
      <c r="B228" s="48" t="s">
        <v>1283</v>
      </c>
      <c r="C228" s="48" t="s">
        <v>1340</v>
      </c>
      <c r="D228" s="13" t="s">
        <v>81</v>
      </c>
      <c r="E228" s="48" t="s">
        <v>1320</v>
      </c>
      <c r="F228" s="48" t="s">
        <v>1291</v>
      </c>
      <c r="G228" s="48" t="s">
        <v>1341</v>
      </c>
      <c r="H228" s="48" t="s">
        <v>1341</v>
      </c>
      <c r="I228" s="48" t="s">
        <v>1342</v>
      </c>
      <c r="J228" s="49">
        <v>175</v>
      </c>
      <c r="K228" s="50">
        <f t="shared" si="9"/>
        <v>3.5</v>
      </c>
      <c r="L228" s="50">
        <v>50</v>
      </c>
      <c r="M228" s="50">
        <v>4.5</v>
      </c>
      <c r="N228" s="51">
        <f t="shared" si="10"/>
        <v>38.888888888888886</v>
      </c>
      <c r="O228" s="52">
        <v>94.56</v>
      </c>
      <c r="P228" s="53">
        <f t="shared" si="11"/>
        <v>3677.333333333333</v>
      </c>
      <c r="Q228" s="48" t="s">
        <v>37</v>
      </c>
      <c r="R228" s="47" t="s">
        <v>85</v>
      </c>
      <c r="S228" s="47" t="s">
        <v>86</v>
      </c>
    </row>
    <row r="229" spans="1:19" ht="18" customHeight="1">
      <c r="A229" s="47" t="s">
        <v>1343</v>
      </c>
      <c r="B229" s="48" t="s">
        <v>1283</v>
      </c>
      <c r="C229" s="48" t="s">
        <v>1344</v>
      </c>
      <c r="D229" s="13" t="s">
        <v>81</v>
      </c>
      <c r="E229" s="48" t="s">
        <v>1297</v>
      </c>
      <c r="F229" s="48" t="s">
        <v>1345</v>
      </c>
      <c r="G229" s="48" t="s">
        <v>1346</v>
      </c>
      <c r="H229" s="48" t="s">
        <v>1346</v>
      </c>
      <c r="I229" s="48" t="s">
        <v>1347</v>
      </c>
      <c r="J229" s="49">
        <v>110</v>
      </c>
      <c r="K229" s="50">
        <f t="shared" si="9"/>
        <v>2.2000000000000002</v>
      </c>
      <c r="L229" s="50">
        <v>50</v>
      </c>
      <c r="M229" s="50">
        <v>4.5</v>
      </c>
      <c r="N229" s="51">
        <f t="shared" si="10"/>
        <v>24.444444444444443</v>
      </c>
      <c r="O229" s="52">
        <v>94.56</v>
      </c>
      <c r="P229" s="53">
        <f t="shared" si="11"/>
        <v>2311.4666666666667</v>
      </c>
      <c r="Q229" s="48" t="s">
        <v>37</v>
      </c>
      <c r="R229" s="47" t="s">
        <v>85</v>
      </c>
      <c r="S229" s="47" t="s">
        <v>86</v>
      </c>
    </row>
    <row r="230" spans="1:19" ht="18" customHeight="1">
      <c r="A230" s="47" t="s">
        <v>1348</v>
      </c>
      <c r="B230" s="48" t="s">
        <v>1283</v>
      </c>
      <c r="C230" s="48" t="s">
        <v>1349</v>
      </c>
      <c r="D230" s="13" t="s">
        <v>81</v>
      </c>
      <c r="E230" s="48" t="s">
        <v>1350</v>
      </c>
      <c r="F230" s="48" t="s">
        <v>1320</v>
      </c>
      <c r="G230" s="48" t="s">
        <v>1351</v>
      </c>
      <c r="H230" s="48" t="s">
        <v>1352</v>
      </c>
      <c r="I230" s="48" t="s">
        <v>1353</v>
      </c>
      <c r="J230" s="49">
        <v>340</v>
      </c>
      <c r="K230" s="50">
        <f t="shared" si="9"/>
        <v>6.8</v>
      </c>
      <c r="L230" s="50">
        <v>50</v>
      </c>
      <c r="M230" s="50">
        <v>4.5</v>
      </c>
      <c r="N230" s="51">
        <f t="shared" si="10"/>
        <v>75.555555555555557</v>
      </c>
      <c r="O230" s="52">
        <v>94.56</v>
      </c>
      <c r="P230" s="53">
        <f t="shared" si="11"/>
        <v>7144.5333333333338</v>
      </c>
      <c r="Q230" s="48" t="s">
        <v>27</v>
      </c>
      <c r="R230" s="47" t="s">
        <v>85</v>
      </c>
      <c r="S230" s="47" t="s">
        <v>86</v>
      </c>
    </row>
    <row r="231" spans="1:19" ht="18" customHeight="1">
      <c r="A231" s="47" t="s">
        <v>1354</v>
      </c>
      <c r="B231" s="48" t="s">
        <v>1283</v>
      </c>
      <c r="C231" s="48" t="s">
        <v>1355</v>
      </c>
      <c r="D231" s="11" t="s">
        <v>59</v>
      </c>
      <c r="E231" s="48" t="s">
        <v>1093</v>
      </c>
      <c r="F231" s="48" t="s">
        <v>1356</v>
      </c>
      <c r="G231" s="48" t="s">
        <v>1357</v>
      </c>
      <c r="H231" s="48" t="s">
        <v>1357</v>
      </c>
      <c r="I231" s="48" t="s">
        <v>1358</v>
      </c>
      <c r="J231" s="49">
        <v>100</v>
      </c>
      <c r="K231" s="50">
        <f t="shared" si="9"/>
        <v>4</v>
      </c>
      <c r="L231" s="50">
        <v>25</v>
      </c>
      <c r="M231" s="50">
        <v>3</v>
      </c>
      <c r="N231" s="51">
        <f t="shared" si="10"/>
        <v>33.333333333333336</v>
      </c>
      <c r="O231" s="52">
        <v>94.56</v>
      </c>
      <c r="P231" s="53">
        <f t="shared" si="11"/>
        <v>3152.0000000000005</v>
      </c>
      <c r="Q231" s="48" t="s">
        <v>64</v>
      </c>
      <c r="R231" s="47" t="s">
        <v>28</v>
      </c>
      <c r="S231" s="47" t="s">
        <v>524</v>
      </c>
    </row>
    <row r="232" spans="1:19" ht="18" customHeight="1">
      <c r="A232" s="47" t="s">
        <v>1359</v>
      </c>
      <c r="B232" s="48" t="s">
        <v>1283</v>
      </c>
      <c r="C232" s="48" t="s">
        <v>1360</v>
      </c>
      <c r="D232" s="11" t="s">
        <v>59</v>
      </c>
      <c r="E232" s="48" t="s">
        <v>1361</v>
      </c>
      <c r="F232" s="48" t="s">
        <v>1362</v>
      </c>
      <c r="G232" s="48" t="s">
        <v>1363</v>
      </c>
      <c r="H232" s="48" t="s">
        <v>1363</v>
      </c>
      <c r="I232" s="48" t="s">
        <v>1364</v>
      </c>
      <c r="J232" s="49">
        <v>70</v>
      </c>
      <c r="K232" s="50">
        <f t="shared" si="9"/>
        <v>2.8</v>
      </c>
      <c r="L232" s="50">
        <v>25</v>
      </c>
      <c r="M232" s="50">
        <v>3</v>
      </c>
      <c r="N232" s="51">
        <f t="shared" si="10"/>
        <v>23.333333333333332</v>
      </c>
      <c r="O232" s="52">
        <v>94.56</v>
      </c>
      <c r="P232" s="53">
        <f t="shared" si="11"/>
        <v>2206.4</v>
      </c>
      <c r="Q232" s="48" t="s">
        <v>64</v>
      </c>
      <c r="R232" s="47" t="s">
        <v>28</v>
      </c>
      <c r="S232" s="47" t="s">
        <v>524</v>
      </c>
    </row>
    <row r="233" spans="1:19" ht="18" customHeight="1">
      <c r="A233" s="47" t="s">
        <v>1365</v>
      </c>
      <c r="B233" s="48" t="s">
        <v>1283</v>
      </c>
      <c r="C233" s="48" t="s">
        <v>1366</v>
      </c>
      <c r="D233" s="4" t="s">
        <v>22</v>
      </c>
      <c r="E233" s="48" t="s">
        <v>1367</v>
      </c>
      <c r="F233" s="48" t="s">
        <v>1368</v>
      </c>
      <c r="G233" s="48" t="s">
        <v>1369</v>
      </c>
      <c r="H233" s="48" t="s">
        <v>1369</v>
      </c>
      <c r="I233" s="48" t="s">
        <v>1370</v>
      </c>
      <c r="J233" s="49">
        <v>60</v>
      </c>
      <c r="K233" s="50">
        <f t="shared" si="9"/>
        <v>1.3333333333333333</v>
      </c>
      <c r="L233" s="50">
        <v>45</v>
      </c>
      <c r="M233" s="50">
        <v>4</v>
      </c>
      <c r="N233" s="51">
        <f t="shared" si="10"/>
        <v>15</v>
      </c>
      <c r="O233" s="52">
        <v>94.56</v>
      </c>
      <c r="P233" s="53">
        <f t="shared" si="11"/>
        <v>1418.4</v>
      </c>
      <c r="Q233" s="48" t="s">
        <v>27</v>
      </c>
      <c r="R233" s="47" t="s">
        <v>28</v>
      </c>
      <c r="S233" s="47" t="s">
        <v>125</v>
      </c>
    </row>
    <row r="234" spans="1:19" ht="18" customHeight="1">
      <c r="A234" s="47" t="s">
        <v>1371</v>
      </c>
      <c r="B234" s="48" t="s">
        <v>1283</v>
      </c>
      <c r="C234" s="48" t="s">
        <v>1372</v>
      </c>
      <c r="D234" s="4" t="s">
        <v>22</v>
      </c>
      <c r="E234" s="48" t="s">
        <v>1298</v>
      </c>
      <c r="F234" s="48" t="s">
        <v>1373</v>
      </c>
      <c r="G234" s="48" t="s">
        <v>1374</v>
      </c>
      <c r="H234" s="48" t="s">
        <v>1374</v>
      </c>
      <c r="I234" s="48" t="s">
        <v>1300</v>
      </c>
      <c r="J234" s="49">
        <v>35</v>
      </c>
      <c r="K234" s="50">
        <f t="shared" si="9"/>
        <v>0.77777777777777779</v>
      </c>
      <c r="L234" s="50">
        <v>45</v>
      </c>
      <c r="M234" s="50">
        <v>4</v>
      </c>
      <c r="N234" s="51">
        <f t="shared" si="10"/>
        <v>8.75</v>
      </c>
      <c r="O234" s="52">
        <v>94.56</v>
      </c>
      <c r="P234" s="53">
        <f t="shared" si="11"/>
        <v>827.4</v>
      </c>
      <c r="Q234" s="48" t="s">
        <v>37</v>
      </c>
      <c r="R234" s="47" t="s">
        <v>28</v>
      </c>
      <c r="S234" s="47" t="s">
        <v>125</v>
      </c>
    </row>
    <row r="235" spans="1:19" ht="18" customHeight="1">
      <c r="A235" s="47" t="s">
        <v>1375</v>
      </c>
      <c r="B235" s="48" t="s">
        <v>1283</v>
      </c>
      <c r="C235" s="48" t="s">
        <v>1376</v>
      </c>
      <c r="D235" s="11" t="s">
        <v>59</v>
      </c>
      <c r="E235" s="48" t="s">
        <v>1377</v>
      </c>
      <c r="F235" s="48" t="s">
        <v>1378</v>
      </c>
      <c r="G235" s="48" t="s">
        <v>1379</v>
      </c>
      <c r="H235" s="48" t="s">
        <v>1379</v>
      </c>
      <c r="I235" s="48" t="s">
        <v>1380</v>
      </c>
      <c r="J235" s="49">
        <v>55</v>
      </c>
      <c r="K235" s="50">
        <f t="shared" si="9"/>
        <v>2.2000000000000002</v>
      </c>
      <c r="L235" s="50">
        <v>25</v>
      </c>
      <c r="M235" s="50">
        <v>3</v>
      </c>
      <c r="N235" s="51">
        <f t="shared" si="10"/>
        <v>18.333333333333332</v>
      </c>
      <c r="O235" s="52">
        <v>94.56</v>
      </c>
      <c r="P235" s="53">
        <f t="shared" si="11"/>
        <v>1733.6</v>
      </c>
      <c r="Q235" s="48" t="s">
        <v>64</v>
      </c>
      <c r="R235" s="47" t="s">
        <v>28</v>
      </c>
      <c r="S235" s="47" t="s">
        <v>138</v>
      </c>
    </row>
    <row r="236" spans="1:19" ht="18" customHeight="1">
      <c r="A236" s="47" t="s">
        <v>1381</v>
      </c>
      <c r="B236" s="48" t="s">
        <v>1283</v>
      </c>
      <c r="C236" s="48" t="s">
        <v>1382</v>
      </c>
      <c r="D236" s="11" t="s">
        <v>59</v>
      </c>
      <c r="E236" s="48" t="s">
        <v>1383</v>
      </c>
      <c r="F236" s="48" t="s">
        <v>1384</v>
      </c>
      <c r="G236" s="48" t="s">
        <v>1385</v>
      </c>
      <c r="H236" s="48" t="s">
        <v>1383</v>
      </c>
      <c r="I236" s="48" t="s">
        <v>1386</v>
      </c>
      <c r="J236" s="49">
        <v>45</v>
      </c>
      <c r="K236" s="50">
        <f t="shared" si="9"/>
        <v>1.8</v>
      </c>
      <c r="L236" s="50">
        <v>25</v>
      </c>
      <c r="M236" s="50">
        <v>3</v>
      </c>
      <c r="N236" s="51">
        <f t="shared" si="10"/>
        <v>15</v>
      </c>
      <c r="O236" s="52">
        <v>94.56</v>
      </c>
      <c r="P236" s="53">
        <f t="shared" si="11"/>
        <v>1418.4</v>
      </c>
      <c r="Q236" s="48" t="s">
        <v>64</v>
      </c>
      <c r="R236" s="47" t="s">
        <v>28</v>
      </c>
      <c r="S236" s="47" t="s">
        <v>138</v>
      </c>
    </row>
    <row r="237" spans="1:19" ht="18" customHeight="1">
      <c r="A237" s="82" t="s">
        <v>1387</v>
      </c>
      <c r="B237" s="83" t="s">
        <v>1388</v>
      </c>
      <c r="C237" s="83" t="s">
        <v>1389</v>
      </c>
      <c r="D237" s="12" t="s">
        <v>67</v>
      </c>
      <c r="E237" s="83" t="s">
        <v>1390</v>
      </c>
      <c r="F237" s="83" t="s">
        <v>1391</v>
      </c>
      <c r="G237" s="83" t="s">
        <v>1392</v>
      </c>
      <c r="H237" s="83" t="s">
        <v>1390</v>
      </c>
      <c r="I237" s="83" t="s">
        <v>1393</v>
      </c>
      <c r="J237" s="84">
        <v>30</v>
      </c>
      <c r="K237" s="85">
        <f t="shared" si="9"/>
        <v>0.75</v>
      </c>
      <c r="L237" s="85">
        <v>40</v>
      </c>
      <c r="M237" s="85">
        <v>3.5</v>
      </c>
      <c r="N237" s="86">
        <f t="shared" si="10"/>
        <v>8.5714285714285712</v>
      </c>
      <c r="O237" s="87">
        <v>94.56</v>
      </c>
      <c r="P237" s="88">
        <f t="shared" si="11"/>
        <v>810.51428571428573</v>
      </c>
      <c r="Q237" s="83" t="s">
        <v>37</v>
      </c>
      <c r="R237" s="82" t="s">
        <v>28</v>
      </c>
      <c r="S237" s="82" t="s">
        <v>72</v>
      </c>
    </row>
    <row r="238" spans="1:19" ht="18" customHeight="1">
      <c r="A238" s="82" t="s">
        <v>1394</v>
      </c>
      <c r="B238" s="83" t="s">
        <v>1388</v>
      </c>
      <c r="C238" s="83" t="s">
        <v>1395</v>
      </c>
      <c r="D238" s="12" t="s">
        <v>67</v>
      </c>
      <c r="E238" s="83" t="s">
        <v>1396</v>
      </c>
      <c r="F238" s="83" t="s">
        <v>1397</v>
      </c>
      <c r="G238" s="83" t="s">
        <v>1398</v>
      </c>
      <c r="H238" s="83" t="s">
        <v>1396</v>
      </c>
      <c r="I238" s="83" t="s">
        <v>1399</v>
      </c>
      <c r="J238" s="84">
        <v>55</v>
      </c>
      <c r="K238" s="85">
        <f t="shared" si="9"/>
        <v>1.375</v>
      </c>
      <c r="L238" s="85">
        <v>40</v>
      </c>
      <c r="M238" s="85">
        <v>3.5</v>
      </c>
      <c r="N238" s="86">
        <f t="shared" si="10"/>
        <v>15.714285714285714</v>
      </c>
      <c r="O238" s="87">
        <v>94.56</v>
      </c>
      <c r="P238" s="88">
        <f t="shared" si="11"/>
        <v>1485.9428571428571</v>
      </c>
      <c r="Q238" s="83" t="s">
        <v>27</v>
      </c>
      <c r="R238" s="82" t="s">
        <v>28</v>
      </c>
      <c r="S238" s="82" t="s">
        <v>72</v>
      </c>
    </row>
    <row r="239" spans="1:19" ht="18" customHeight="1">
      <c r="A239" s="82" t="s">
        <v>1400</v>
      </c>
      <c r="B239" s="83" t="s">
        <v>1388</v>
      </c>
      <c r="C239" s="83" t="s">
        <v>1401</v>
      </c>
      <c r="D239" s="4" t="s">
        <v>22</v>
      </c>
      <c r="E239" s="83" t="s">
        <v>1402</v>
      </c>
      <c r="F239" s="83" t="s">
        <v>1403</v>
      </c>
      <c r="G239" s="83" t="s">
        <v>1404</v>
      </c>
      <c r="H239" s="83" t="s">
        <v>1404</v>
      </c>
      <c r="I239" s="83" t="s">
        <v>1405</v>
      </c>
      <c r="J239" s="84">
        <v>115</v>
      </c>
      <c r="K239" s="85">
        <f t="shared" si="9"/>
        <v>2.5555555555555554</v>
      </c>
      <c r="L239" s="85">
        <v>45</v>
      </c>
      <c r="M239" s="85">
        <v>4</v>
      </c>
      <c r="N239" s="86">
        <f t="shared" si="10"/>
        <v>28.75</v>
      </c>
      <c r="O239" s="87">
        <v>94.56</v>
      </c>
      <c r="P239" s="88">
        <f t="shared" si="11"/>
        <v>2718.6</v>
      </c>
      <c r="Q239" s="83" t="s">
        <v>37</v>
      </c>
      <c r="R239" s="82" t="s">
        <v>28</v>
      </c>
      <c r="S239" s="82" t="s">
        <v>72</v>
      </c>
    </row>
    <row r="240" spans="1:19" ht="18" customHeight="1">
      <c r="A240" s="82" t="s">
        <v>1406</v>
      </c>
      <c r="B240" s="83" t="s">
        <v>1388</v>
      </c>
      <c r="C240" s="83" t="s">
        <v>1407</v>
      </c>
      <c r="D240" s="4" t="s">
        <v>22</v>
      </c>
      <c r="E240" s="83" t="s">
        <v>1408</v>
      </c>
      <c r="F240" s="83" t="s">
        <v>1409</v>
      </c>
      <c r="G240" s="83" t="s">
        <v>1410</v>
      </c>
      <c r="H240" s="83" t="s">
        <v>1410</v>
      </c>
      <c r="I240" s="83" t="s">
        <v>1411</v>
      </c>
      <c r="J240" s="84">
        <v>130</v>
      </c>
      <c r="K240" s="85">
        <f t="shared" si="9"/>
        <v>2.8888888888888888</v>
      </c>
      <c r="L240" s="85">
        <v>45</v>
      </c>
      <c r="M240" s="85">
        <v>4</v>
      </c>
      <c r="N240" s="86">
        <f t="shared" si="10"/>
        <v>32.5</v>
      </c>
      <c r="O240" s="87">
        <v>94.56</v>
      </c>
      <c r="P240" s="88">
        <f t="shared" si="11"/>
        <v>3073.2000000000003</v>
      </c>
      <c r="Q240" s="83" t="s">
        <v>27</v>
      </c>
      <c r="R240" s="82" t="s">
        <v>28</v>
      </c>
      <c r="S240" s="82" t="s">
        <v>72</v>
      </c>
    </row>
    <row r="241" spans="1:19" ht="18" customHeight="1">
      <c r="A241" s="82" t="s">
        <v>1412</v>
      </c>
      <c r="B241" s="83" t="s">
        <v>1388</v>
      </c>
      <c r="C241" s="83" t="s">
        <v>1413</v>
      </c>
      <c r="D241" s="10" t="s">
        <v>45</v>
      </c>
      <c r="E241" s="83" t="s">
        <v>1414</v>
      </c>
      <c r="F241" s="83" t="s">
        <v>1415</v>
      </c>
      <c r="G241" s="83" t="s">
        <v>1416</v>
      </c>
      <c r="H241" s="83" t="s">
        <v>1417</v>
      </c>
      <c r="I241" s="83" t="s">
        <v>1418</v>
      </c>
      <c r="J241" s="84">
        <v>10</v>
      </c>
      <c r="K241" s="85">
        <f t="shared" si="9"/>
        <v>0.5</v>
      </c>
      <c r="L241" s="85">
        <v>20</v>
      </c>
      <c r="M241" s="85">
        <v>3.5</v>
      </c>
      <c r="N241" s="86">
        <f t="shared" si="10"/>
        <v>2.8571428571428572</v>
      </c>
      <c r="O241" s="87">
        <v>94.56</v>
      </c>
      <c r="P241" s="88">
        <f t="shared" si="11"/>
        <v>270.17142857142858</v>
      </c>
      <c r="Q241" s="83" t="s">
        <v>37</v>
      </c>
      <c r="R241" s="82" t="s">
        <v>28</v>
      </c>
      <c r="S241" s="82" t="s">
        <v>72</v>
      </c>
    </row>
    <row r="242" spans="1:19" ht="18" customHeight="1">
      <c r="A242" s="82" t="s">
        <v>1419</v>
      </c>
      <c r="B242" s="83" t="s">
        <v>1388</v>
      </c>
      <c r="C242" s="83" t="s">
        <v>1420</v>
      </c>
      <c r="D242" s="10" t="s">
        <v>45</v>
      </c>
      <c r="E242" s="83" t="s">
        <v>1421</v>
      </c>
      <c r="F242" s="83" t="s">
        <v>1422</v>
      </c>
      <c r="G242" s="83" t="s">
        <v>1423</v>
      </c>
      <c r="H242" s="83" t="s">
        <v>1423</v>
      </c>
      <c r="I242" s="83" t="s">
        <v>1424</v>
      </c>
      <c r="J242" s="84">
        <v>25</v>
      </c>
      <c r="K242" s="85">
        <f t="shared" si="9"/>
        <v>1.25</v>
      </c>
      <c r="L242" s="85">
        <v>20</v>
      </c>
      <c r="M242" s="85">
        <v>3.5</v>
      </c>
      <c r="N242" s="86">
        <f t="shared" si="10"/>
        <v>7.1428571428571432</v>
      </c>
      <c r="O242" s="87">
        <v>94.56</v>
      </c>
      <c r="P242" s="88">
        <f t="shared" si="11"/>
        <v>675.42857142857144</v>
      </c>
      <c r="Q242" s="83" t="s">
        <v>27</v>
      </c>
      <c r="R242" s="82" t="s">
        <v>28</v>
      </c>
      <c r="S242" s="82" t="s">
        <v>72</v>
      </c>
    </row>
    <row r="243" spans="1:19" ht="18" customHeight="1">
      <c r="A243" s="82" t="s">
        <v>1425</v>
      </c>
      <c r="B243" s="83" t="s">
        <v>1388</v>
      </c>
      <c r="C243" s="83" t="s">
        <v>1426</v>
      </c>
      <c r="D243" s="10" t="s">
        <v>45</v>
      </c>
      <c r="E243" s="83" t="s">
        <v>1427</v>
      </c>
      <c r="F243" s="83" t="s">
        <v>1428</v>
      </c>
      <c r="G243" s="83" t="s">
        <v>1429</v>
      </c>
      <c r="H243" s="83" t="s">
        <v>1429</v>
      </c>
      <c r="I243" s="83" t="s">
        <v>1430</v>
      </c>
      <c r="J243" s="84">
        <v>35</v>
      </c>
      <c r="K243" s="85">
        <f t="shared" si="9"/>
        <v>1.75</v>
      </c>
      <c r="L243" s="85">
        <v>20</v>
      </c>
      <c r="M243" s="85">
        <v>3.5</v>
      </c>
      <c r="N243" s="86">
        <f t="shared" si="10"/>
        <v>10</v>
      </c>
      <c r="O243" s="87">
        <v>94.56</v>
      </c>
      <c r="P243" s="88">
        <f t="shared" si="11"/>
        <v>945.6</v>
      </c>
      <c r="Q243" s="83" t="s">
        <v>37</v>
      </c>
      <c r="R243" s="82" t="s">
        <v>28</v>
      </c>
      <c r="S243" s="82" t="s">
        <v>72</v>
      </c>
    </row>
    <row r="244" spans="1:19" ht="18" customHeight="1">
      <c r="A244" s="82" t="s">
        <v>1431</v>
      </c>
      <c r="B244" s="83" t="s">
        <v>1388</v>
      </c>
      <c r="C244" s="83" t="s">
        <v>1432</v>
      </c>
      <c r="D244" s="10" t="s">
        <v>45</v>
      </c>
      <c r="E244" s="83" t="s">
        <v>1433</v>
      </c>
      <c r="F244" s="83" t="s">
        <v>1434</v>
      </c>
      <c r="G244" s="83" t="s">
        <v>1402</v>
      </c>
      <c r="H244" s="83" t="s">
        <v>1402</v>
      </c>
      <c r="I244" s="83" t="s">
        <v>1435</v>
      </c>
      <c r="J244" s="84">
        <v>30</v>
      </c>
      <c r="K244" s="85">
        <f t="shared" si="9"/>
        <v>1.5</v>
      </c>
      <c r="L244" s="85">
        <v>20</v>
      </c>
      <c r="M244" s="85">
        <v>3.5</v>
      </c>
      <c r="N244" s="86">
        <f t="shared" si="10"/>
        <v>8.5714285714285712</v>
      </c>
      <c r="O244" s="87">
        <v>94.56</v>
      </c>
      <c r="P244" s="88">
        <f t="shared" si="11"/>
        <v>810.51428571428573</v>
      </c>
      <c r="Q244" s="83" t="s">
        <v>27</v>
      </c>
      <c r="R244" s="82" t="s">
        <v>28</v>
      </c>
      <c r="S244" s="82" t="s">
        <v>72</v>
      </c>
    </row>
    <row r="245" spans="1:19" ht="18" customHeight="1">
      <c r="A245" s="82" t="s">
        <v>1436</v>
      </c>
      <c r="B245" s="83" t="s">
        <v>1388</v>
      </c>
      <c r="C245" s="83" t="s">
        <v>1437</v>
      </c>
      <c r="D245" s="15" t="s">
        <v>519</v>
      </c>
      <c r="E245" s="83" t="s">
        <v>1416</v>
      </c>
      <c r="F245" s="83" t="s">
        <v>1429</v>
      </c>
      <c r="G245" s="83" t="s">
        <v>1438</v>
      </c>
      <c r="H245" s="83" t="s">
        <v>1439</v>
      </c>
      <c r="I245" s="83" t="s">
        <v>1440</v>
      </c>
      <c r="J245" s="84">
        <v>701</v>
      </c>
      <c r="K245" s="85">
        <f t="shared" si="9"/>
        <v>8.7624999999999993</v>
      </c>
      <c r="L245" s="85">
        <v>80</v>
      </c>
      <c r="M245" s="85">
        <v>5</v>
      </c>
      <c r="N245" s="86">
        <f t="shared" si="10"/>
        <v>140.19999999999999</v>
      </c>
      <c r="O245" s="87">
        <v>94.56</v>
      </c>
      <c r="P245" s="88">
        <f t="shared" si="11"/>
        <v>13257.312</v>
      </c>
      <c r="Q245" s="83" t="s">
        <v>37</v>
      </c>
      <c r="R245" s="82" t="s">
        <v>85</v>
      </c>
      <c r="S245" s="82" t="s">
        <v>72</v>
      </c>
    </row>
    <row r="246" spans="1:19" ht="18" customHeight="1">
      <c r="A246" s="82" t="s">
        <v>1441</v>
      </c>
      <c r="B246" s="83" t="s">
        <v>1388</v>
      </c>
      <c r="C246" s="83" t="s">
        <v>1442</v>
      </c>
      <c r="D246" s="15" t="s">
        <v>519</v>
      </c>
      <c r="E246" s="83" t="s">
        <v>1416</v>
      </c>
      <c r="F246" s="83" t="s">
        <v>1402</v>
      </c>
      <c r="G246" s="83" t="s">
        <v>1443</v>
      </c>
      <c r="H246" s="83" t="s">
        <v>1444</v>
      </c>
      <c r="I246" s="83" t="s">
        <v>1445</v>
      </c>
      <c r="J246" s="84">
        <v>95</v>
      </c>
      <c r="K246" s="85">
        <f t="shared" si="9"/>
        <v>1.1875</v>
      </c>
      <c r="L246" s="85">
        <v>80</v>
      </c>
      <c r="M246" s="85">
        <v>5</v>
      </c>
      <c r="N246" s="86">
        <f t="shared" si="10"/>
        <v>19</v>
      </c>
      <c r="O246" s="87">
        <v>94.56</v>
      </c>
      <c r="P246" s="88">
        <f t="shared" si="11"/>
        <v>1796.64</v>
      </c>
      <c r="Q246" s="83" t="s">
        <v>37</v>
      </c>
      <c r="R246" s="82" t="s">
        <v>85</v>
      </c>
      <c r="S246" s="82" t="s">
        <v>72</v>
      </c>
    </row>
    <row r="247" spans="1:19" ht="18" customHeight="1">
      <c r="A247" s="82" t="s">
        <v>1446</v>
      </c>
      <c r="B247" s="83" t="s">
        <v>1388</v>
      </c>
      <c r="C247" s="83" t="s">
        <v>1447</v>
      </c>
      <c r="D247" s="13" t="s">
        <v>81</v>
      </c>
      <c r="E247" s="83" t="s">
        <v>1390</v>
      </c>
      <c r="F247" s="83" t="s">
        <v>1416</v>
      </c>
      <c r="G247" s="83" t="s">
        <v>1448</v>
      </c>
      <c r="H247" s="83" t="s">
        <v>1449</v>
      </c>
      <c r="I247" s="83" t="s">
        <v>1450</v>
      </c>
      <c r="J247" s="84">
        <v>200</v>
      </c>
      <c r="K247" s="85">
        <f t="shared" si="9"/>
        <v>4</v>
      </c>
      <c r="L247" s="85">
        <v>50</v>
      </c>
      <c r="M247" s="85">
        <v>4.5</v>
      </c>
      <c r="N247" s="86">
        <f t="shared" si="10"/>
        <v>44.444444444444443</v>
      </c>
      <c r="O247" s="87">
        <v>94.56</v>
      </c>
      <c r="P247" s="88">
        <f t="shared" si="11"/>
        <v>4202.666666666667</v>
      </c>
      <c r="Q247" s="83" t="s">
        <v>37</v>
      </c>
      <c r="R247" s="82" t="s">
        <v>85</v>
      </c>
      <c r="S247" s="82" t="s">
        <v>86</v>
      </c>
    </row>
    <row r="248" spans="1:19" ht="18" customHeight="1">
      <c r="A248" s="82" t="s">
        <v>1451</v>
      </c>
      <c r="B248" s="83" t="s">
        <v>1388</v>
      </c>
      <c r="C248" s="83" t="s">
        <v>1452</v>
      </c>
      <c r="D248" s="13" t="s">
        <v>81</v>
      </c>
      <c r="E248" s="83" t="s">
        <v>1429</v>
      </c>
      <c r="F248" s="83" t="s">
        <v>1453</v>
      </c>
      <c r="G248" s="83" t="s">
        <v>1454</v>
      </c>
      <c r="H248" s="83" t="s">
        <v>1454</v>
      </c>
      <c r="I248" s="83" t="s">
        <v>1455</v>
      </c>
      <c r="J248" s="84">
        <v>75</v>
      </c>
      <c r="K248" s="85">
        <f t="shared" si="9"/>
        <v>1.5</v>
      </c>
      <c r="L248" s="85">
        <v>50</v>
      </c>
      <c r="M248" s="85">
        <v>4.5</v>
      </c>
      <c r="N248" s="86">
        <f t="shared" si="10"/>
        <v>16.666666666666668</v>
      </c>
      <c r="O248" s="87">
        <v>94.56</v>
      </c>
      <c r="P248" s="88">
        <f t="shared" si="11"/>
        <v>1576.0000000000002</v>
      </c>
      <c r="Q248" s="83" t="s">
        <v>37</v>
      </c>
      <c r="R248" s="82" t="s">
        <v>85</v>
      </c>
      <c r="S248" s="82" t="s">
        <v>86</v>
      </c>
    </row>
    <row r="249" spans="1:19" ht="18" customHeight="1">
      <c r="A249" s="82" t="s">
        <v>1456</v>
      </c>
      <c r="B249" s="83" t="s">
        <v>1388</v>
      </c>
      <c r="C249" s="83" t="s">
        <v>1457</v>
      </c>
      <c r="D249" s="13" t="s">
        <v>81</v>
      </c>
      <c r="E249" s="83" t="s">
        <v>1402</v>
      </c>
      <c r="F249" s="83" t="s">
        <v>1390</v>
      </c>
      <c r="G249" s="83" t="s">
        <v>1458</v>
      </c>
      <c r="H249" s="83" t="s">
        <v>1459</v>
      </c>
      <c r="I249" s="83" t="s">
        <v>1450</v>
      </c>
      <c r="J249" s="84">
        <v>210</v>
      </c>
      <c r="K249" s="85">
        <f t="shared" si="9"/>
        <v>4.2</v>
      </c>
      <c r="L249" s="85">
        <v>50</v>
      </c>
      <c r="M249" s="85">
        <v>4.5</v>
      </c>
      <c r="N249" s="86">
        <f t="shared" si="10"/>
        <v>46.666666666666664</v>
      </c>
      <c r="O249" s="87">
        <v>94.56</v>
      </c>
      <c r="P249" s="88">
        <f t="shared" si="11"/>
        <v>4412.8</v>
      </c>
      <c r="Q249" s="83" t="s">
        <v>37</v>
      </c>
      <c r="R249" s="82" t="s">
        <v>85</v>
      </c>
      <c r="S249" s="82" t="s">
        <v>86</v>
      </c>
    </row>
    <row r="250" spans="1:19" ht="18" customHeight="1">
      <c r="A250" s="82" t="s">
        <v>1460</v>
      </c>
      <c r="B250" s="83" t="s">
        <v>1388</v>
      </c>
      <c r="C250" s="83" t="s">
        <v>1461</v>
      </c>
      <c r="D250" s="13" t="s">
        <v>81</v>
      </c>
      <c r="E250" s="83" t="s">
        <v>1422</v>
      </c>
      <c r="F250" s="83" t="s">
        <v>1462</v>
      </c>
      <c r="G250" s="83" t="s">
        <v>1463</v>
      </c>
      <c r="H250" s="83" t="s">
        <v>1422</v>
      </c>
      <c r="I250" s="83" t="s">
        <v>1464</v>
      </c>
      <c r="J250" s="84">
        <v>30</v>
      </c>
      <c r="K250" s="85">
        <f t="shared" si="9"/>
        <v>0.6</v>
      </c>
      <c r="L250" s="85">
        <v>50</v>
      </c>
      <c r="M250" s="85">
        <v>4.5</v>
      </c>
      <c r="N250" s="86">
        <f t="shared" si="10"/>
        <v>6.666666666666667</v>
      </c>
      <c r="O250" s="87">
        <v>94.56</v>
      </c>
      <c r="P250" s="88">
        <f t="shared" si="11"/>
        <v>630.40000000000009</v>
      </c>
      <c r="Q250" s="83" t="s">
        <v>27</v>
      </c>
      <c r="R250" s="82" t="s">
        <v>85</v>
      </c>
      <c r="S250" s="82" t="s">
        <v>86</v>
      </c>
    </row>
    <row r="251" spans="1:19" ht="18" customHeight="1">
      <c r="A251" s="82" t="s">
        <v>1465</v>
      </c>
      <c r="B251" s="83" t="s">
        <v>1388</v>
      </c>
      <c r="C251" s="83" t="s">
        <v>1466</v>
      </c>
      <c r="D251" s="13" t="s">
        <v>81</v>
      </c>
      <c r="E251" s="83" t="s">
        <v>1467</v>
      </c>
      <c r="F251" s="83" t="s">
        <v>1453</v>
      </c>
      <c r="G251" s="83" t="s">
        <v>1468</v>
      </c>
      <c r="H251" s="83" t="s">
        <v>1468</v>
      </c>
      <c r="I251" s="83" t="s">
        <v>1455</v>
      </c>
      <c r="J251" s="84">
        <v>115</v>
      </c>
      <c r="K251" s="85">
        <f t="shared" si="9"/>
        <v>2.2999999999999998</v>
      </c>
      <c r="L251" s="85">
        <v>50</v>
      </c>
      <c r="M251" s="85">
        <v>4.5</v>
      </c>
      <c r="N251" s="86">
        <f t="shared" si="10"/>
        <v>25.555555555555557</v>
      </c>
      <c r="O251" s="87">
        <v>94.56</v>
      </c>
      <c r="P251" s="88">
        <f t="shared" si="11"/>
        <v>2416.5333333333338</v>
      </c>
      <c r="Q251" s="83" t="s">
        <v>37</v>
      </c>
      <c r="R251" s="82" t="s">
        <v>85</v>
      </c>
      <c r="S251" s="82" t="s">
        <v>86</v>
      </c>
    </row>
    <row r="252" spans="1:19" ht="18" customHeight="1">
      <c r="A252" s="82" t="s">
        <v>1469</v>
      </c>
      <c r="B252" s="83" t="s">
        <v>1388</v>
      </c>
      <c r="C252" s="83" t="s">
        <v>1470</v>
      </c>
      <c r="D252" s="13" t="s">
        <v>81</v>
      </c>
      <c r="E252" s="83" t="s">
        <v>1402</v>
      </c>
      <c r="F252" s="83" t="s">
        <v>1396</v>
      </c>
      <c r="G252" s="83" t="s">
        <v>1471</v>
      </c>
      <c r="H252" s="83" t="s">
        <v>1472</v>
      </c>
      <c r="I252" s="83" t="s">
        <v>1473</v>
      </c>
      <c r="J252" s="84">
        <v>240</v>
      </c>
      <c r="K252" s="85">
        <f t="shared" si="9"/>
        <v>4.8</v>
      </c>
      <c r="L252" s="85">
        <v>50</v>
      </c>
      <c r="M252" s="85">
        <v>4.5</v>
      </c>
      <c r="N252" s="86">
        <f t="shared" si="10"/>
        <v>53.333333333333336</v>
      </c>
      <c r="O252" s="87">
        <v>94.56</v>
      </c>
      <c r="P252" s="88">
        <f t="shared" si="11"/>
        <v>5043.2000000000007</v>
      </c>
      <c r="Q252" s="83" t="s">
        <v>37</v>
      </c>
      <c r="R252" s="82" t="s">
        <v>85</v>
      </c>
      <c r="S252" s="82" t="s">
        <v>86</v>
      </c>
    </row>
    <row r="253" spans="1:19" ht="18" customHeight="1">
      <c r="A253" s="82" t="s">
        <v>1474</v>
      </c>
      <c r="B253" s="83" t="s">
        <v>1388</v>
      </c>
      <c r="C253" s="83" t="s">
        <v>1475</v>
      </c>
      <c r="D253" s="11" t="s">
        <v>59</v>
      </c>
      <c r="E253" s="83" t="s">
        <v>1476</v>
      </c>
      <c r="F253" s="83" t="s">
        <v>1477</v>
      </c>
      <c r="G253" s="83" t="s">
        <v>1478</v>
      </c>
      <c r="H253" s="83" t="s">
        <v>1479</v>
      </c>
      <c r="I253" s="83" t="s">
        <v>1480</v>
      </c>
      <c r="J253" s="84">
        <v>130</v>
      </c>
      <c r="K253" s="85">
        <f t="shared" si="9"/>
        <v>5.2</v>
      </c>
      <c r="L253" s="85">
        <v>25</v>
      </c>
      <c r="M253" s="85">
        <v>3</v>
      </c>
      <c r="N253" s="86">
        <f t="shared" si="10"/>
        <v>43.333333333333336</v>
      </c>
      <c r="O253" s="87">
        <v>94.56</v>
      </c>
      <c r="P253" s="88">
        <f t="shared" si="11"/>
        <v>4097.6000000000004</v>
      </c>
      <c r="Q253" s="83" t="s">
        <v>27</v>
      </c>
      <c r="R253" s="82" t="s">
        <v>28</v>
      </c>
      <c r="S253" s="82" t="s">
        <v>524</v>
      </c>
    </row>
    <row r="254" spans="1:19" ht="18" customHeight="1">
      <c r="A254" s="82" t="s">
        <v>1481</v>
      </c>
      <c r="B254" s="83" t="s">
        <v>1388</v>
      </c>
      <c r="C254" s="83" t="s">
        <v>1482</v>
      </c>
      <c r="D254" s="11" t="s">
        <v>59</v>
      </c>
      <c r="E254" s="83" t="s">
        <v>1483</v>
      </c>
      <c r="F254" s="83" t="s">
        <v>1484</v>
      </c>
      <c r="G254" s="83" t="s">
        <v>1485</v>
      </c>
      <c r="H254" s="83" t="s">
        <v>1485</v>
      </c>
      <c r="I254" s="83" t="s">
        <v>1399</v>
      </c>
      <c r="J254" s="84">
        <v>70</v>
      </c>
      <c r="K254" s="85">
        <f t="shared" si="9"/>
        <v>2.8</v>
      </c>
      <c r="L254" s="85">
        <v>25</v>
      </c>
      <c r="M254" s="85">
        <v>3</v>
      </c>
      <c r="N254" s="86">
        <f t="shared" si="10"/>
        <v>23.333333333333332</v>
      </c>
      <c r="O254" s="87">
        <v>94.56</v>
      </c>
      <c r="P254" s="88">
        <f t="shared" si="11"/>
        <v>2206.4</v>
      </c>
      <c r="Q254" s="83" t="s">
        <v>64</v>
      </c>
      <c r="R254" s="82" t="s">
        <v>28</v>
      </c>
      <c r="S254" s="82" t="s">
        <v>524</v>
      </c>
    </row>
    <row r="255" spans="1:19" ht="18" customHeight="1">
      <c r="A255" s="82" t="s">
        <v>1486</v>
      </c>
      <c r="B255" s="83" t="s">
        <v>1388</v>
      </c>
      <c r="C255" s="83" t="s">
        <v>1487</v>
      </c>
      <c r="D255" s="11" t="s">
        <v>59</v>
      </c>
      <c r="E255" s="83" t="s">
        <v>1488</v>
      </c>
      <c r="F255" s="83" t="s">
        <v>1489</v>
      </c>
      <c r="G255" s="83" t="s">
        <v>1490</v>
      </c>
      <c r="H255" s="83" t="s">
        <v>1490</v>
      </c>
      <c r="I255" s="83" t="s">
        <v>1455</v>
      </c>
      <c r="J255" s="84">
        <v>75</v>
      </c>
      <c r="K255" s="85">
        <f t="shared" si="9"/>
        <v>3</v>
      </c>
      <c r="L255" s="85">
        <v>25</v>
      </c>
      <c r="M255" s="85">
        <v>3</v>
      </c>
      <c r="N255" s="86">
        <f t="shared" si="10"/>
        <v>25</v>
      </c>
      <c r="O255" s="87">
        <v>94.56</v>
      </c>
      <c r="P255" s="88">
        <f t="shared" si="11"/>
        <v>2364</v>
      </c>
      <c r="Q255" s="83" t="s">
        <v>64</v>
      </c>
      <c r="R255" s="82" t="s">
        <v>28</v>
      </c>
      <c r="S255" s="82" t="s">
        <v>524</v>
      </c>
    </row>
    <row r="256" spans="1:19" ht="18" customHeight="1">
      <c r="A256" s="82" t="s">
        <v>1491</v>
      </c>
      <c r="B256" s="83" t="s">
        <v>1388</v>
      </c>
      <c r="C256" s="83" t="s">
        <v>1492</v>
      </c>
      <c r="D256" s="4" t="s">
        <v>22</v>
      </c>
      <c r="E256" s="83" t="s">
        <v>1390</v>
      </c>
      <c r="F256" s="83" t="s">
        <v>1493</v>
      </c>
      <c r="G256" s="83" t="s">
        <v>1494</v>
      </c>
      <c r="H256" s="83" t="s">
        <v>1390</v>
      </c>
      <c r="I256" s="83" t="s">
        <v>1405</v>
      </c>
      <c r="J256" s="84">
        <v>45</v>
      </c>
      <c r="K256" s="85">
        <f t="shared" si="9"/>
        <v>1</v>
      </c>
      <c r="L256" s="85">
        <v>45</v>
      </c>
      <c r="M256" s="85">
        <v>4</v>
      </c>
      <c r="N256" s="86">
        <f t="shared" si="10"/>
        <v>11.25</v>
      </c>
      <c r="O256" s="87">
        <v>94.56</v>
      </c>
      <c r="P256" s="88">
        <f t="shared" si="11"/>
        <v>1063.8</v>
      </c>
      <c r="Q256" s="83" t="s">
        <v>37</v>
      </c>
      <c r="R256" s="82" t="s">
        <v>28</v>
      </c>
      <c r="S256" s="82" t="s">
        <v>125</v>
      </c>
    </row>
    <row r="257" spans="1:19" ht="18" customHeight="1">
      <c r="A257" s="82" t="s">
        <v>1495</v>
      </c>
      <c r="B257" s="83" t="s">
        <v>1388</v>
      </c>
      <c r="C257" s="83" t="s">
        <v>1496</v>
      </c>
      <c r="D257" s="4" t="s">
        <v>22</v>
      </c>
      <c r="E257" s="83" t="s">
        <v>1497</v>
      </c>
      <c r="F257" s="83" t="s">
        <v>1498</v>
      </c>
      <c r="G257" s="83" t="s">
        <v>1499</v>
      </c>
      <c r="H257" s="83" t="s">
        <v>1499</v>
      </c>
      <c r="I257" s="83" t="s">
        <v>1473</v>
      </c>
      <c r="J257" s="84">
        <v>60</v>
      </c>
      <c r="K257" s="85">
        <f t="shared" si="9"/>
        <v>1.3333333333333333</v>
      </c>
      <c r="L257" s="85">
        <v>45</v>
      </c>
      <c r="M257" s="85">
        <v>4</v>
      </c>
      <c r="N257" s="86">
        <f t="shared" si="10"/>
        <v>15</v>
      </c>
      <c r="O257" s="87">
        <v>94.56</v>
      </c>
      <c r="P257" s="88">
        <f t="shared" si="11"/>
        <v>1418.4</v>
      </c>
      <c r="Q257" s="83" t="s">
        <v>37</v>
      </c>
      <c r="R257" s="82" t="s">
        <v>28</v>
      </c>
      <c r="S257" s="82" t="s">
        <v>125</v>
      </c>
    </row>
    <row r="258" spans="1:19" ht="18" customHeight="1">
      <c r="A258" s="89" t="s">
        <v>1500</v>
      </c>
      <c r="B258" s="90" t="s">
        <v>1501</v>
      </c>
      <c r="C258" s="90" t="s">
        <v>1502</v>
      </c>
      <c r="D258" s="12" t="s">
        <v>67</v>
      </c>
      <c r="E258" s="90" t="s">
        <v>1503</v>
      </c>
      <c r="F258" s="90" t="s">
        <v>1504</v>
      </c>
      <c r="G258" s="90" t="s">
        <v>1505</v>
      </c>
      <c r="H258" s="90" t="s">
        <v>1505</v>
      </c>
      <c r="I258" s="90" t="s">
        <v>1506</v>
      </c>
      <c r="J258" s="91">
        <v>25</v>
      </c>
      <c r="K258" s="92">
        <f t="shared" ref="K258:K321" si="12">J258/L258</f>
        <v>0.625</v>
      </c>
      <c r="L258" s="92">
        <v>40</v>
      </c>
      <c r="M258" s="92">
        <v>3.5</v>
      </c>
      <c r="N258" s="93">
        <f t="shared" ref="N258:N321" si="13">J258/M258</f>
        <v>7.1428571428571432</v>
      </c>
      <c r="O258" s="94">
        <v>94.56</v>
      </c>
      <c r="P258" s="95">
        <f t="shared" ref="P258:P321" si="14">N258*O258</f>
        <v>675.42857142857144</v>
      </c>
      <c r="Q258" s="90" t="s">
        <v>27</v>
      </c>
      <c r="R258" s="89" t="s">
        <v>28</v>
      </c>
      <c r="S258" s="89" t="s">
        <v>72</v>
      </c>
    </row>
    <row r="259" spans="1:19" ht="18" customHeight="1">
      <c r="A259" s="89" t="s">
        <v>1507</v>
      </c>
      <c r="B259" s="90" t="s">
        <v>1501</v>
      </c>
      <c r="C259" s="90" t="s">
        <v>1508</v>
      </c>
      <c r="D259" s="4" t="s">
        <v>22</v>
      </c>
      <c r="E259" s="90" t="s">
        <v>1509</v>
      </c>
      <c r="F259" s="90" t="s">
        <v>327</v>
      </c>
      <c r="G259" s="90" t="s">
        <v>1510</v>
      </c>
      <c r="H259" s="90" t="s">
        <v>1511</v>
      </c>
      <c r="I259" s="90" t="s">
        <v>1512</v>
      </c>
      <c r="J259" s="91">
        <v>220</v>
      </c>
      <c r="K259" s="92">
        <f t="shared" si="12"/>
        <v>4.8888888888888893</v>
      </c>
      <c r="L259" s="92">
        <v>45</v>
      </c>
      <c r="M259" s="92">
        <v>4</v>
      </c>
      <c r="N259" s="93">
        <f t="shared" si="13"/>
        <v>55</v>
      </c>
      <c r="O259" s="94">
        <v>94.56</v>
      </c>
      <c r="P259" s="95">
        <f t="shared" si="14"/>
        <v>5200.8</v>
      </c>
      <c r="Q259" s="90" t="s">
        <v>64</v>
      </c>
      <c r="R259" s="89" t="s">
        <v>28</v>
      </c>
      <c r="S259" s="89" t="s">
        <v>72</v>
      </c>
    </row>
    <row r="260" spans="1:19" ht="18" customHeight="1">
      <c r="A260" s="89" t="s">
        <v>1513</v>
      </c>
      <c r="B260" s="90" t="s">
        <v>1501</v>
      </c>
      <c r="C260" s="90" t="s">
        <v>1514</v>
      </c>
      <c r="D260" s="4" t="s">
        <v>22</v>
      </c>
      <c r="E260" s="90" t="s">
        <v>1515</v>
      </c>
      <c r="F260" s="90" t="s">
        <v>1516</v>
      </c>
      <c r="G260" s="90" t="s">
        <v>1517</v>
      </c>
      <c r="H260" s="90" t="s">
        <v>1517</v>
      </c>
      <c r="I260" s="90" t="s">
        <v>362</v>
      </c>
      <c r="J260" s="91">
        <v>40</v>
      </c>
      <c r="K260" s="92">
        <f t="shared" si="12"/>
        <v>0.88888888888888884</v>
      </c>
      <c r="L260" s="92">
        <v>45</v>
      </c>
      <c r="M260" s="92">
        <v>4</v>
      </c>
      <c r="N260" s="93">
        <f t="shared" si="13"/>
        <v>10</v>
      </c>
      <c r="O260" s="94">
        <v>94.56</v>
      </c>
      <c r="P260" s="95">
        <f t="shared" si="14"/>
        <v>945.6</v>
      </c>
      <c r="Q260" s="90" t="s">
        <v>64</v>
      </c>
      <c r="R260" s="89" t="s">
        <v>28</v>
      </c>
      <c r="S260" s="89" t="s">
        <v>72</v>
      </c>
    </row>
    <row r="261" spans="1:19" ht="18" customHeight="1">
      <c r="A261" s="89" t="s">
        <v>1518</v>
      </c>
      <c r="B261" s="90" t="s">
        <v>1501</v>
      </c>
      <c r="C261" s="90" t="s">
        <v>1519</v>
      </c>
      <c r="D261" s="10" t="s">
        <v>45</v>
      </c>
      <c r="E261" s="90" t="s">
        <v>1520</v>
      </c>
      <c r="F261" s="90" t="s">
        <v>1521</v>
      </c>
      <c r="G261" s="90" t="s">
        <v>1509</v>
      </c>
      <c r="H261" s="90" t="s">
        <v>1522</v>
      </c>
      <c r="I261" s="90" t="s">
        <v>1523</v>
      </c>
      <c r="J261" s="91">
        <v>10</v>
      </c>
      <c r="K261" s="92">
        <f t="shared" si="12"/>
        <v>0.5</v>
      </c>
      <c r="L261" s="92">
        <v>20</v>
      </c>
      <c r="M261" s="92">
        <v>3.5</v>
      </c>
      <c r="N261" s="93">
        <f t="shared" si="13"/>
        <v>2.8571428571428572</v>
      </c>
      <c r="O261" s="94">
        <v>94.56</v>
      </c>
      <c r="P261" s="95">
        <f t="shared" si="14"/>
        <v>270.17142857142858</v>
      </c>
      <c r="Q261" s="90" t="s">
        <v>27</v>
      </c>
      <c r="R261" s="89" t="s">
        <v>28</v>
      </c>
      <c r="S261" s="89" t="s">
        <v>72</v>
      </c>
    </row>
    <row r="262" spans="1:19" ht="18" customHeight="1">
      <c r="A262" s="89" t="s">
        <v>1524</v>
      </c>
      <c r="B262" s="90" t="s">
        <v>1501</v>
      </c>
      <c r="C262" s="90" t="s">
        <v>1525</v>
      </c>
      <c r="D262" s="13" t="s">
        <v>81</v>
      </c>
      <c r="E262" s="90" t="s">
        <v>327</v>
      </c>
      <c r="F262" s="90" t="s">
        <v>1526</v>
      </c>
      <c r="G262" s="90" t="s">
        <v>1527</v>
      </c>
      <c r="H262" s="90" t="s">
        <v>1528</v>
      </c>
      <c r="I262" s="90" t="s">
        <v>1529</v>
      </c>
      <c r="J262" s="91">
        <v>300</v>
      </c>
      <c r="K262" s="92">
        <f t="shared" si="12"/>
        <v>6</v>
      </c>
      <c r="L262" s="92">
        <v>50</v>
      </c>
      <c r="M262" s="92">
        <v>4.5</v>
      </c>
      <c r="N262" s="93">
        <f t="shared" si="13"/>
        <v>66.666666666666671</v>
      </c>
      <c r="O262" s="94">
        <v>94.56</v>
      </c>
      <c r="P262" s="95">
        <f t="shared" si="14"/>
        <v>6304.0000000000009</v>
      </c>
      <c r="Q262" s="90" t="s">
        <v>64</v>
      </c>
      <c r="R262" s="89" t="s">
        <v>28</v>
      </c>
      <c r="S262" s="89" t="s">
        <v>86</v>
      </c>
    </row>
    <row r="263" spans="1:19" ht="18" customHeight="1">
      <c r="A263" s="89" t="s">
        <v>1530</v>
      </c>
      <c r="B263" s="90" t="s">
        <v>1501</v>
      </c>
      <c r="C263" s="90" t="s">
        <v>1531</v>
      </c>
      <c r="D263" s="13" t="s">
        <v>81</v>
      </c>
      <c r="E263" s="90" t="s">
        <v>1509</v>
      </c>
      <c r="F263" s="90" t="s">
        <v>1526</v>
      </c>
      <c r="G263" s="90" t="s">
        <v>1532</v>
      </c>
      <c r="H263" s="90" t="s">
        <v>1533</v>
      </c>
      <c r="I263" s="90" t="s">
        <v>1534</v>
      </c>
      <c r="J263" s="91">
        <v>110</v>
      </c>
      <c r="K263" s="92">
        <f t="shared" si="12"/>
        <v>2.2000000000000002</v>
      </c>
      <c r="L263" s="92">
        <v>50</v>
      </c>
      <c r="M263" s="92">
        <v>4.5</v>
      </c>
      <c r="N263" s="93">
        <f t="shared" si="13"/>
        <v>24.444444444444443</v>
      </c>
      <c r="O263" s="94">
        <v>94.56</v>
      </c>
      <c r="P263" s="95">
        <f t="shared" si="14"/>
        <v>2311.4666666666667</v>
      </c>
      <c r="Q263" s="90" t="s">
        <v>27</v>
      </c>
      <c r="R263" s="89" t="s">
        <v>85</v>
      </c>
      <c r="S263" s="89" t="s">
        <v>86</v>
      </c>
    </row>
    <row r="264" spans="1:19" ht="18" customHeight="1">
      <c r="A264" s="89" t="s">
        <v>1535</v>
      </c>
      <c r="B264" s="90" t="s">
        <v>1501</v>
      </c>
      <c r="C264" s="90" t="s">
        <v>1536</v>
      </c>
      <c r="D264" s="13" t="s">
        <v>81</v>
      </c>
      <c r="E264" s="90" t="s">
        <v>1509</v>
      </c>
      <c r="F264" s="90" t="s">
        <v>327</v>
      </c>
      <c r="G264" s="90" t="s">
        <v>1510</v>
      </c>
      <c r="H264" s="90" t="s">
        <v>1511</v>
      </c>
      <c r="I264" s="90" t="s">
        <v>1512</v>
      </c>
      <c r="J264" s="91">
        <v>220</v>
      </c>
      <c r="K264" s="92">
        <f t="shared" si="12"/>
        <v>4.4000000000000004</v>
      </c>
      <c r="L264" s="92">
        <v>50</v>
      </c>
      <c r="M264" s="92">
        <v>4.5</v>
      </c>
      <c r="N264" s="93">
        <f t="shared" si="13"/>
        <v>48.888888888888886</v>
      </c>
      <c r="O264" s="94">
        <v>94.56</v>
      </c>
      <c r="P264" s="95">
        <f t="shared" si="14"/>
        <v>4622.9333333333334</v>
      </c>
      <c r="Q264" s="90" t="s">
        <v>64</v>
      </c>
      <c r="R264" s="89" t="s">
        <v>28</v>
      </c>
      <c r="S264" s="89" t="s">
        <v>86</v>
      </c>
    </row>
    <row r="265" spans="1:19" ht="18" customHeight="1">
      <c r="A265" s="89" t="s">
        <v>1537</v>
      </c>
      <c r="B265" s="90" t="s">
        <v>1501</v>
      </c>
      <c r="C265" s="90" t="s">
        <v>1538</v>
      </c>
      <c r="D265" s="13" t="s">
        <v>81</v>
      </c>
      <c r="E265" s="90" t="s">
        <v>1509</v>
      </c>
      <c r="F265" s="90" t="s">
        <v>1539</v>
      </c>
      <c r="G265" s="90" t="s">
        <v>1540</v>
      </c>
      <c r="H265" s="90" t="s">
        <v>1541</v>
      </c>
      <c r="I265" s="90" t="s">
        <v>1542</v>
      </c>
      <c r="J265" s="91">
        <v>165</v>
      </c>
      <c r="K265" s="92">
        <f t="shared" si="12"/>
        <v>3.3</v>
      </c>
      <c r="L265" s="92">
        <v>50</v>
      </c>
      <c r="M265" s="92">
        <v>4.5</v>
      </c>
      <c r="N265" s="93">
        <f t="shared" si="13"/>
        <v>36.666666666666664</v>
      </c>
      <c r="O265" s="94">
        <v>94.56</v>
      </c>
      <c r="P265" s="95">
        <f t="shared" si="14"/>
        <v>3467.2</v>
      </c>
      <c r="Q265" s="90" t="s">
        <v>64</v>
      </c>
      <c r="R265" s="89" t="s">
        <v>28</v>
      </c>
      <c r="S265" s="89" t="s">
        <v>86</v>
      </c>
    </row>
    <row r="266" spans="1:19" ht="18" customHeight="1">
      <c r="A266" s="89" t="s">
        <v>1543</v>
      </c>
      <c r="B266" s="90" t="s">
        <v>1501</v>
      </c>
      <c r="C266" s="90" t="s">
        <v>1544</v>
      </c>
      <c r="D266" s="11" t="s">
        <v>59</v>
      </c>
      <c r="E266" s="90" t="s">
        <v>1545</v>
      </c>
      <c r="F266" s="90" t="s">
        <v>1546</v>
      </c>
      <c r="G266" s="90" t="s">
        <v>1547</v>
      </c>
      <c r="H266" s="90" t="s">
        <v>1545</v>
      </c>
      <c r="I266" s="90" t="s">
        <v>1548</v>
      </c>
      <c r="J266" s="91">
        <v>45</v>
      </c>
      <c r="K266" s="92">
        <f t="shared" si="12"/>
        <v>1.8</v>
      </c>
      <c r="L266" s="92">
        <v>25</v>
      </c>
      <c r="M266" s="92">
        <v>3</v>
      </c>
      <c r="N266" s="93">
        <f t="shared" si="13"/>
        <v>15</v>
      </c>
      <c r="O266" s="94">
        <v>94.56</v>
      </c>
      <c r="P266" s="95">
        <f t="shared" si="14"/>
        <v>1418.4</v>
      </c>
      <c r="Q266" s="90" t="s">
        <v>64</v>
      </c>
      <c r="R266" s="89" t="s">
        <v>28</v>
      </c>
      <c r="S266" s="89" t="s">
        <v>524</v>
      </c>
    </row>
    <row r="267" spans="1:19" ht="18" customHeight="1">
      <c r="A267" s="89" t="s">
        <v>1549</v>
      </c>
      <c r="B267" s="90" t="s">
        <v>1501</v>
      </c>
      <c r="C267" s="90" t="s">
        <v>1550</v>
      </c>
      <c r="D267" s="11" t="s">
        <v>59</v>
      </c>
      <c r="E267" s="90" t="s">
        <v>1551</v>
      </c>
      <c r="F267" s="90" t="s">
        <v>1552</v>
      </c>
      <c r="G267" s="90" t="s">
        <v>1553</v>
      </c>
      <c r="H267" s="90" t="s">
        <v>1551</v>
      </c>
      <c r="I267" s="90" t="s">
        <v>1554</v>
      </c>
      <c r="J267" s="91">
        <v>60</v>
      </c>
      <c r="K267" s="92">
        <f t="shared" si="12"/>
        <v>2.4</v>
      </c>
      <c r="L267" s="92">
        <v>25</v>
      </c>
      <c r="M267" s="92">
        <v>3</v>
      </c>
      <c r="N267" s="93">
        <f t="shared" si="13"/>
        <v>20</v>
      </c>
      <c r="O267" s="94">
        <v>94.56</v>
      </c>
      <c r="P267" s="95">
        <f t="shared" si="14"/>
        <v>1891.2</v>
      </c>
      <c r="Q267" s="90" t="s">
        <v>64</v>
      </c>
      <c r="R267" s="89" t="s">
        <v>28</v>
      </c>
      <c r="S267" s="89" t="s">
        <v>524</v>
      </c>
    </row>
    <row r="268" spans="1:19" ht="18" customHeight="1">
      <c r="A268" s="89" t="s">
        <v>1555</v>
      </c>
      <c r="B268" s="90" t="s">
        <v>1501</v>
      </c>
      <c r="C268" s="90" t="s">
        <v>1556</v>
      </c>
      <c r="D268" s="11" t="s">
        <v>59</v>
      </c>
      <c r="E268" s="90" t="s">
        <v>1515</v>
      </c>
      <c r="F268" s="90" t="s">
        <v>1557</v>
      </c>
      <c r="G268" s="90" t="s">
        <v>1558</v>
      </c>
      <c r="H268" s="90" t="s">
        <v>1515</v>
      </c>
      <c r="I268" s="90" t="s">
        <v>1542</v>
      </c>
      <c r="J268" s="91">
        <v>65</v>
      </c>
      <c r="K268" s="92">
        <f t="shared" si="12"/>
        <v>2.6</v>
      </c>
      <c r="L268" s="92">
        <v>25</v>
      </c>
      <c r="M268" s="92">
        <v>3</v>
      </c>
      <c r="N268" s="93">
        <f t="shared" si="13"/>
        <v>21.666666666666668</v>
      </c>
      <c r="O268" s="94">
        <v>94.56</v>
      </c>
      <c r="P268" s="95">
        <f t="shared" si="14"/>
        <v>2048.8000000000002</v>
      </c>
      <c r="Q268" s="90" t="s">
        <v>64</v>
      </c>
      <c r="R268" s="89" t="s">
        <v>28</v>
      </c>
      <c r="S268" s="89" t="s">
        <v>524</v>
      </c>
    </row>
    <row r="269" spans="1:19" ht="18" customHeight="1">
      <c r="A269" s="89" t="s">
        <v>1559</v>
      </c>
      <c r="B269" s="90" t="s">
        <v>1501</v>
      </c>
      <c r="C269" s="90" t="s">
        <v>1560</v>
      </c>
      <c r="D269" s="11" t="s">
        <v>59</v>
      </c>
      <c r="E269" s="90" t="s">
        <v>1561</v>
      </c>
      <c r="F269" s="90" t="s">
        <v>1562</v>
      </c>
      <c r="G269" s="90" t="s">
        <v>1563</v>
      </c>
      <c r="H269" s="90" t="s">
        <v>1561</v>
      </c>
      <c r="I269" s="90" t="s">
        <v>1564</v>
      </c>
      <c r="J269" s="91">
        <v>55</v>
      </c>
      <c r="K269" s="92">
        <f t="shared" si="12"/>
        <v>2.2000000000000002</v>
      </c>
      <c r="L269" s="92">
        <v>25</v>
      </c>
      <c r="M269" s="92">
        <v>3</v>
      </c>
      <c r="N269" s="93">
        <f t="shared" si="13"/>
        <v>18.333333333333332</v>
      </c>
      <c r="O269" s="94">
        <v>94.56</v>
      </c>
      <c r="P269" s="95">
        <f t="shared" si="14"/>
        <v>1733.6</v>
      </c>
      <c r="Q269" s="90" t="s">
        <v>64</v>
      </c>
      <c r="R269" s="89" t="s">
        <v>28</v>
      </c>
      <c r="S269" s="89" t="s">
        <v>524</v>
      </c>
    </row>
    <row r="270" spans="1:19" ht="18" customHeight="1">
      <c r="A270" s="89" t="s">
        <v>1565</v>
      </c>
      <c r="B270" s="90" t="s">
        <v>1501</v>
      </c>
      <c r="C270" s="90" t="s">
        <v>1566</v>
      </c>
      <c r="D270" s="11" t="s">
        <v>59</v>
      </c>
      <c r="E270" s="90" t="s">
        <v>1567</v>
      </c>
      <c r="F270" s="90" t="s">
        <v>1568</v>
      </c>
      <c r="G270" s="90" t="s">
        <v>1569</v>
      </c>
      <c r="H270" s="90" t="s">
        <v>1567</v>
      </c>
      <c r="I270" s="90" t="s">
        <v>1570</v>
      </c>
      <c r="J270" s="91">
        <v>35</v>
      </c>
      <c r="K270" s="92">
        <f t="shared" si="12"/>
        <v>1.4</v>
      </c>
      <c r="L270" s="92">
        <v>25</v>
      </c>
      <c r="M270" s="92">
        <v>3</v>
      </c>
      <c r="N270" s="93">
        <f t="shared" si="13"/>
        <v>11.666666666666666</v>
      </c>
      <c r="O270" s="94">
        <v>94.56</v>
      </c>
      <c r="P270" s="95">
        <f t="shared" si="14"/>
        <v>1103.2</v>
      </c>
      <c r="Q270" s="90" t="s">
        <v>64</v>
      </c>
      <c r="R270" s="89" t="s">
        <v>28</v>
      </c>
      <c r="S270" s="89" t="s">
        <v>524</v>
      </c>
    </row>
    <row r="271" spans="1:19" ht="18" customHeight="1">
      <c r="A271" s="89" t="s">
        <v>1571</v>
      </c>
      <c r="B271" s="90" t="s">
        <v>1501</v>
      </c>
      <c r="C271" s="90" t="s">
        <v>1572</v>
      </c>
      <c r="D271" s="4" t="s">
        <v>22</v>
      </c>
      <c r="E271" s="90" t="s">
        <v>1509</v>
      </c>
      <c r="F271" s="90" t="s">
        <v>1567</v>
      </c>
      <c r="G271" s="90" t="s">
        <v>1573</v>
      </c>
      <c r="H271" s="90" t="s">
        <v>1574</v>
      </c>
      <c r="I271" s="90" t="s">
        <v>1575</v>
      </c>
      <c r="J271" s="91">
        <v>85</v>
      </c>
      <c r="K271" s="92">
        <f t="shared" si="12"/>
        <v>1.8888888888888888</v>
      </c>
      <c r="L271" s="92">
        <v>45</v>
      </c>
      <c r="M271" s="92">
        <v>4</v>
      </c>
      <c r="N271" s="93">
        <f t="shared" si="13"/>
        <v>21.25</v>
      </c>
      <c r="O271" s="94">
        <v>94.56</v>
      </c>
      <c r="P271" s="95">
        <f t="shared" si="14"/>
        <v>2009.4</v>
      </c>
      <c r="Q271" s="90" t="s">
        <v>64</v>
      </c>
      <c r="R271" s="89" t="s">
        <v>28</v>
      </c>
      <c r="S271" s="89" t="s">
        <v>125</v>
      </c>
    </row>
    <row r="272" spans="1:19" ht="18" customHeight="1">
      <c r="A272" s="89" t="s">
        <v>1576</v>
      </c>
      <c r="B272" s="90" t="s">
        <v>1501</v>
      </c>
      <c r="C272" s="90" t="s">
        <v>1577</v>
      </c>
      <c r="D272" s="4" t="s">
        <v>22</v>
      </c>
      <c r="E272" s="90" t="s">
        <v>1578</v>
      </c>
      <c r="F272" s="90" t="s">
        <v>1551</v>
      </c>
      <c r="G272" s="90" t="s">
        <v>1579</v>
      </c>
      <c r="H272" s="90" t="s">
        <v>1579</v>
      </c>
      <c r="I272" s="90" t="s">
        <v>1534</v>
      </c>
      <c r="J272" s="91">
        <v>65</v>
      </c>
      <c r="K272" s="92">
        <f t="shared" si="12"/>
        <v>1.4444444444444444</v>
      </c>
      <c r="L272" s="92">
        <v>45</v>
      </c>
      <c r="M272" s="92">
        <v>4</v>
      </c>
      <c r="N272" s="93">
        <f t="shared" si="13"/>
        <v>16.25</v>
      </c>
      <c r="O272" s="94">
        <v>94.56</v>
      </c>
      <c r="P272" s="95">
        <f t="shared" si="14"/>
        <v>1536.6000000000001</v>
      </c>
      <c r="Q272" s="90" t="s">
        <v>64</v>
      </c>
      <c r="R272" s="89" t="s">
        <v>28</v>
      </c>
      <c r="S272" s="89" t="s">
        <v>125</v>
      </c>
    </row>
    <row r="273" spans="1:19" ht="18" customHeight="1">
      <c r="A273" s="89" t="s">
        <v>1580</v>
      </c>
      <c r="B273" s="90" t="s">
        <v>1501</v>
      </c>
      <c r="C273" s="90" t="s">
        <v>1581</v>
      </c>
      <c r="D273" s="11" t="s">
        <v>59</v>
      </c>
      <c r="E273" s="90" t="s">
        <v>1582</v>
      </c>
      <c r="F273" s="90" t="s">
        <v>1583</v>
      </c>
      <c r="G273" s="90" t="s">
        <v>1582</v>
      </c>
      <c r="H273" s="90" t="s">
        <v>1582</v>
      </c>
      <c r="I273" s="90" t="s">
        <v>1584</v>
      </c>
      <c r="J273" s="91">
        <v>50</v>
      </c>
      <c r="K273" s="92">
        <f t="shared" si="12"/>
        <v>2</v>
      </c>
      <c r="L273" s="92">
        <v>25</v>
      </c>
      <c r="M273" s="92">
        <v>3</v>
      </c>
      <c r="N273" s="93">
        <f t="shared" si="13"/>
        <v>16.666666666666668</v>
      </c>
      <c r="O273" s="94">
        <v>94.56</v>
      </c>
      <c r="P273" s="95">
        <f t="shared" si="14"/>
        <v>1576.0000000000002</v>
      </c>
      <c r="Q273" s="90" t="s">
        <v>64</v>
      </c>
      <c r="R273" s="89" t="s">
        <v>28</v>
      </c>
      <c r="S273" s="89" t="s">
        <v>138</v>
      </c>
    </row>
    <row r="274" spans="1:19" ht="18" customHeight="1">
      <c r="A274" s="96" t="s">
        <v>1585</v>
      </c>
      <c r="B274" s="97" t="s">
        <v>1586</v>
      </c>
      <c r="C274" s="97" t="s">
        <v>1587</v>
      </c>
      <c r="D274" s="12" t="s">
        <v>67</v>
      </c>
      <c r="E274" s="97" t="s">
        <v>1588</v>
      </c>
      <c r="F274" s="97" t="s">
        <v>1589</v>
      </c>
      <c r="G274" s="97" t="s">
        <v>1590</v>
      </c>
      <c r="H274" s="97" t="s">
        <v>1591</v>
      </c>
      <c r="I274" s="97" t="s">
        <v>1592</v>
      </c>
      <c r="J274" s="98">
        <v>55</v>
      </c>
      <c r="K274" s="99">
        <f t="shared" si="12"/>
        <v>1.375</v>
      </c>
      <c r="L274" s="99">
        <v>40</v>
      </c>
      <c r="M274" s="99">
        <v>3.5</v>
      </c>
      <c r="N274" s="100">
        <f t="shared" si="13"/>
        <v>15.714285714285714</v>
      </c>
      <c r="O274" s="101">
        <v>94.56</v>
      </c>
      <c r="P274" s="102">
        <f t="shared" si="14"/>
        <v>1485.9428571428571</v>
      </c>
      <c r="Q274" s="97" t="s">
        <v>27</v>
      </c>
      <c r="R274" s="96" t="s">
        <v>28</v>
      </c>
      <c r="S274" s="96" t="s">
        <v>72</v>
      </c>
    </row>
    <row r="275" spans="1:19" ht="18" customHeight="1">
      <c r="A275" s="96" t="s">
        <v>1593</v>
      </c>
      <c r="B275" s="97" t="s">
        <v>1586</v>
      </c>
      <c r="C275" s="97" t="s">
        <v>1594</v>
      </c>
      <c r="D275" s="12" t="s">
        <v>67</v>
      </c>
      <c r="E275" s="97" t="s">
        <v>1595</v>
      </c>
      <c r="F275" s="97" t="s">
        <v>1596</v>
      </c>
      <c r="G275" s="97" t="s">
        <v>1597</v>
      </c>
      <c r="H275" s="97" t="s">
        <v>1598</v>
      </c>
      <c r="I275" s="97" t="s">
        <v>1599</v>
      </c>
      <c r="J275" s="98">
        <v>40</v>
      </c>
      <c r="K275" s="99">
        <f t="shared" si="12"/>
        <v>1</v>
      </c>
      <c r="L275" s="99">
        <v>40</v>
      </c>
      <c r="M275" s="99">
        <v>3.5</v>
      </c>
      <c r="N275" s="100">
        <f t="shared" si="13"/>
        <v>11.428571428571429</v>
      </c>
      <c r="O275" s="101">
        <v>94.56</v>
      </c>
      <c r="P275" s="102">
        <f t="shared" si="14"/>
        <v>1080.6857142857143</v>
      </c>
      <c r="Q275" s="97" t="s">
        <v>27</v>
      </c>
      <c r="R275" s="96" t="s">
        <v>28</v>
      </c>
      <c r="S275" s="96" t="s">
        <v>72</v>
      </c>
    </row>
    <row r="276" spans="1:19" ht="18" customHeight="1">
      <c r="A276" s="96" t="s">
        <v>1600</v>
      </c>
      <c r="B276" s="97" t="s">
        <v>1586</v>
      </c>
      <c r="C276" s="97" t="s">
        <v>1601</v>
      </c>
      <c r="D276" s="4" t="s">
        <v>22</v>
      </c>
      <c r="E276" s="97" t="s">
        <v>1588</v>
      </c>
      <c r="F276" s="97" t="s">
        <v>1602</v>
      </c>
      <c r="G276" s="97" t="s">
        <v>1603</v>
      </c>
      <c r="H276" s="97" t="s">
        <v>1604</v>
      </c>
      <c r="I276" s="97" t="s">
        <v>1605</v>
      </c>
      <c r="J276" s="98">
        <v>65</v>
      </c>
      <c r="K276" s="99">
        <f t="shared" si="12"/>
        <v>1.4444444444444444</v>
      </c>
      <c r="L276" s="99">
        <v>45</v>
      </c>
      <c r="M276" s="99">
        <v>4</v>
      </c>
      <c r="N276" s="100">
        <f t="shared" si="13"/>
        <v>16.25</v>
      </c>
      <c r="O276" s="101">
        <v>94.56</v>
      </c>
      <c r="P276" s="102">
        <f t="shared" si="14"/>
        <v>1536.6000000000001</v>
      </c>
      <c r="Q276" s="97" t="s">
        <v>27</v>
      </c>
      <c r="R276" s="96" t="s">
        <v>28</v>
      </c>
      <c r="S276" s="96" t="s">
        <v>72</v>
      </c>
    </row>
    <row r="277" spans="1:19" ht="18" customHeight="1">
      <c r="A277" s="96" t="s">
        <v>1606</v>
      </c>
      <c r="B277" s="97" t="s">
        <v>1586</v>
      </c>
      <c r="C277" s="97" t="s">
        <v>1607</v>
      </c>
      <c r="D277" s="10" t="s">
        <v>45</v>
      </c>
      <c r="E277" s="97" t="s">
        <v>1608</v>
      </c>
      <c r="F277" s="97" t="s">
        <v>1609</v>
      </c>
      <c r="G277" s="97" t="s">
        <v>1588</v>
      </c>
      <c r="H277" s="97" t="s">
        <v>1591</v>
      </c>
      <c r="I277" s="97" t="s">
        <v>1610</v>
      </c>
      <c r="J277" s="98">
        <v>8</v>
      </c>
      <c r="K277" s="99">
        <f t="shared" si="12"/>
        <v>0.4</v>
      </c>
      <c r="L277" s="99">
        <v>20</v>
      </c>
      <c r="M277" s="99">
        <v>3.5</v>
      </c>
      <c r="N277" s="100">
        <f t="shared" si="13"/>
        <v>2.2857142857142856</v>
      </c>
      <c r="O277" s="101">
        <v>94.56</v>
      </c>
      <c r="P277" s="102">
        <f t="shared" si="14"/>
        <v>216.13714285714286</v>
      </c>
      <c r="Q277" s="97" t="s">
        <v>27</v>
      </c>
      <c r="R277" s="96" t="s">
        <v>28</v>
      </c>
      <c r="S277" s="96" t="s">
        <v>72</v>
      </c>
    </row>
    <row r="278" spans="1:19" ht="18" customHeight="1">
      <c r="A278" s="96" t="s">
        <v>1611</v>
      </c>
      <c r="B278" s="97" t="s">
        <v>1586</v>
      </c>
      <c r="C278" s="97" t="s">
        <v>1612</v>
      </c>
      <c r="D278" s="13" t="s">
        <v>81</v>
      </c>
      <c r="E278" s="97" t="s">
        <v>1588</v>
      </c>
      <c r="F278" s="97" t="s">
        <v>1613</v>
      </c>
      <c r="G278" s="97" t="s">
        <v>1614</v>
      </c>
      <c r="H278" s="97" t="s">
        <v>1591</v>
      </c>
      <c r="I278" s="97" t="s">
        <v>1615</v>
      </c>
      <c r="J278" s="98">
        <v>90</v>
      </c>
      <c r="K278" s="99">
        <f t="shared" si="12"/>
        <v>1.8</v>
      </c>
      <c r="L278" s="99">
        <v>50</v>
      </c>
      <c r="M278" s="99">
        <v>4.5</v>
      </c>
      <c r="N278" s="100">
        <f t="shared" si="13"/>
        <v>20</v>
      </c>
      <c r="O278" s="101">
        <v>94.56</v>
      </c>
      <c r="P278" s="102">
        <f t="shared" si="14"/>
        <v>1891.2</v>
      </c>
      <c r="Q278" s="97" t="s">
        <v>27</v>
      </c>
      <c r="R278" s="96" t="s">
        <v>28</v>
      </c>
      <c r="S278" s="96" t="s">
        <v>86</v>
      </c>
    </row>
    <row r="279" spans="1:19" ht="18" customHeight="1">
      <c r="A279" s="96" t="s">
        <v>1616</v>
      </c>
      <c r="B279" s="97" t="s">
        <v>1586</v>
      </c>
      <c r="C279" s="97" t="s">
        <v>1617</v>
      </c>
      <c r="D279" s="13" t="s">
        <v>81</v>
      </c>
      <c r="E279" s="97" t="s">
        <v>1618</v>
      </c>
      <c r="F279" s="97" t="s">
        <v>1596</v>
      </c>
      <c r="G279" s="97" t="s">
        <v>1619</v>
      </c>
      <c r="H279" s="97" t="s">
        <v>1598</v>
      </c>
      <c r="I279" s="97" t="s">
        <v>1615</v>
      </c>
      <c r="J279" s="98">
        <v>140</v>
      </c>
      <c r="K279" s="99">
        <f t="shared" si="12"/>
        <v>2.8</v>
      </c>
      <c r="L279" s="99">
        <v>50</v>
      </c>
      <c r="M279" s="99">
        <v>4.5</v>
      </c>
      <c r="N279" s="100">
        <f t="shared" si="13"/>
        <v>31.111111111111111</v>
      </c>
      <c r="O279" s="101">
        <v>94.56</v>
      </c>
      <c r="P279" s="102">
        <f t="shared" si="14"/>
        <v>2941.8666666666668</v>
      </c>
      <c r="Q279" s="97" t="s">
        <v>64</v>
      </c>
      <c r="R279" s="96" t="s">
        <v>28</v>
      </c>
      <c r="S279" s="96" t="s">
        <v>86</v>
      </c>
    </row>
    <row r="280" spans="1:19" ht="18" customHeight="1">
      <c r="A280" s="96" t="s">
        <v>1620</v>
      </c>
      <c r="B280" s="97" t="s">
        <v>1586</v>
      </c>
      <c r="C280" s="97" t="s">
        <v>1621</v>
      </c>
      <c r="D280" s="13" t="s">
        <v>81</v>
      </c>
      <c r="E280" s="97" t="s">
        <v>1622</v>
      </c>
      <c r="F280" s="97" t="s">
        <v>1588</v>
      </c>
      <c r="G280" s="97" t="s">
        <v>1623</v>
      </c>
      <c r="H280" s="97" t="s">
        <v>1624</v>
      </c>
      <c r="I280" s="97" t="s">
        <v>1625</v>
      </c>
      <c r="J280" s="98">
        <v>100</v>
      </c>
      <c r="K280" s="99">
        <f t="shared" si="12"/>
        <v>2</v>
      </c>
      <c r="L280" s="99">
        <v>50</v>
      </c>
      <c r="M280" s="99">
        <v>4.5</v>
      </c>
      <c r="N280" s="100">
        <f t="shared" si="13"/>
        <v>22.222222222222221</v>
      </c>
      <c r="O280" s="101">
        <v>94.56</v>
      </c>
      <c r="P280" s="102">
        <f t="shared" si="14"/>
        <v>2101.3333333333335</v>
      </c>
      <c r="Q280" s="97" t="s">
        <v>37</v>
      </c>
      <c r="R280" s="96" t="s">
        <v>85</v>
      </c>
      <c r="S280" s="96" t="s">
        <v>86</v>
      </c>
    </row>
    <row r="281" spans="1:19" ht="18" customHeight="1">
      <c r="A281" s="96" t="s">
        <v>1626</v>
      </c>
      <c r="B281" s="97" t="s">
        <v>1586</v>
      </c>
      <c r="C281" s="97" t="s">
        <v>1627</v>
      </c>
      <c r="D281" s="13" t="s">
        <v>81</v>
      </c>
      <c r="E281" s="97" t="s">
        <v>1628</v>
      </c>
      <c r="F281" s="97" t="s">
        <v>1629</v>
      </c>
      <c r="G281" s="97" t="s">
        <v>1630</v>
      </c>
      <c r="H281" s="97" t="s">
        <v>1631</v>
      </c>
      <c r="I281" s="97" t="s">
        <v>1632</v>
      </c>
      <c r="J281" s="98">
        <v>130</v>
      </c>
      <c r="K281" s="99">
        <f t="shared" si="12"/>
        <v>2.6</v>
      </c>
      <c r="L281" s="99">
        <v>50</v>
      </c>
      <c r="M281" s="99">
        <v>4.5</v>
      </c>
      <c r="N281" s="100">
        <f t="shared" si="13"/>
        <v>28.888888888888889</v>
      </c>
      <c r="O281" s="101">
        <v>94.56</v>
      </c>
      <c r="P281" s="102">
        <f t="shared" si="14"/>
        <v>2731.7333333333336</v>
      </c>
      <c r="Q281" s="97" t="s">
        <v>64</v>
      </c>
      <c r="R281" s="96" t="s">
        <v>28</v>
      </c>
      <c r="S281" s="96" t="s">
        <v>86</v>
      </c>
    </row>
    <row r="282" spans="1:19" ht="18" customHeight="1">
      <c r="A282" s="96" t="s">
        <v>1633</v>
      </c>
      <c r="B282" s="97" t="s">
        <v>1586</v>
      </c>
      <c r="C282" s="97" t="s">
        <v>1634</v>
      </c>
      <c r="D282" s="11" t="s">
        <v>59</v>
      </c>
      <c r="E282" s="97" t="s">
        <v>1595</v>
      </c>
      <c r="F282" s="97" t="s">
        <v>1635</v>
      </c>
      <c r="G282" s="97" t="s">
        <v>1636</v>
      </c>
      <c r="H282" s="97" t="s">
        <v>1637</v>
      </c>
      <c r="I282" s="97" t="s">
        <v>1638</v>
      </c>
      <c r="J282" s="98">
        <v>80</v>
      </c>
      <c r="K282" s="99">
        <f t="shared" si="12"/>
        <v>3.2</v>
      </c>
      <c r="L282" s="99">
        <v>25</v>
      </c>
      <c r="M282" s="99">
        <v>3</v>
      </c>
      <c r="N282" s="100">
        <f t="shared" si="13"/>
        <v>26.666666666666668</v>
      </c>
      <c r="O282" s="101">
        <v>94.56</v>
      </c>
      <c r="P282" s="102">
        <f t="shared" si="14"/>
        <v>2521.6000000000004</v>
      </c>
      <c r="Q282" s="97" t="s">
        <v>64</v>
      </c>
      <c r="R282" s="96" t="s">
        <v>28</v>
      </c>
      <c r="S282" s="96" t="s">
        <v>524</v>
      </c>
    </row>
    <row r="283" spans="1:19" ht="18" customHeight="1">
      <c r="A283" s="96" t="s">
        <v>1639</v>
      </c>
      <c r="B283" s="97" t="s">
        <v>1586</v>
      </c>
      <c r="C283" s="97" t="s">
        <v>1640</v>
      </c>
      <c r="D283" s="11" t="s">
        <v>59</v>
      </c>
      <c r="E283" s="97" t="s">
        <v>1602</v>
      </c>
      <c r="F283" s="97" t="s">
        <v>1641</v>
      </c>
      <c r="G283" s="97" t="s">
        <v>1642</v>
      </c>
      <c r="H283" s="97" t="s">
        <v>1643</v>
      </c>
      <c r="I283" s="97" t="s">
        <v>1644</v>
      </c>
      <c r="J283" s="98">
        <v>40</v>
      </c>
      <c r="K283" s="99">
        <f t="shared" si="12"/>
        <v>1.6</v>
      </c>
      <c r="L283" s="99">
        <v>25</v>
      </c>
      <c r="M283" s="99">
        <v>3</v>
      </c>
      <c r="N283" s="100">
        <f t="shared" si="13"/>
        <v>13.333333333333334</v>
      </c>
      <c r="O283" s="101">
        <v>94.56</v>
      </c>
      <c r="P283" s="102">
        <f t="shared" si="14"/>
        <v>1260.8000000000002</v>
      </c>
      <c r="Q283" s="97" t="s">
        <v>64</v>
      </c>
      <c r="R283" s="96" t="s">
        <v>28</v>
      </c>
      <c r="S283" s="96" t="s">
        <v>524</v>
      </c>
    </row>
    <row r="284" spans="1:19" ht="18" customHeight="1">
      <c r="A284" s="96" t="s">
        <v>1645</v>
      </c>
      <c r="B284" s="97" t="s">
        <v>1586</v>
      </c>
      <c r="C284" s="97" t="s">
        <v>1646</v>
      </c>
      <c r="D284" s="11" t="s">
        <v>59</v>
      </c>
      <c r="E284" s="97" t="s">
        <v>1647</v>
      </c>
      <c r="F284" s="97" t="s">
        <v>1648</v>
      </c>
      <c r="G284" s="97" t="s">
        <v>1649</v>
      </c>
      <c r="H284" s="97" t="s">
        <v>1650</v>
      </c>
      <c r="I284" s="97" t="s">
        <v>1650</v>
      </c>
      <c r="J284" s="98">
        <v>35</v>
      </c>
      <c r="K284" s="99">
        <f t="shared" si="12"/>
        <v>1.4</v>
      </c>
      <c r="L284" s="99">
        <v>25</v>
      </c>
      <c r="M284" s="99">
        <v>3</v>
      </c>
      <c r="N284" s="100">
        <f t="shared" si="13"/>
        <v>11.666666666666666</v>
      </c>
      <c r="O284" s="101">
        <v>94.56</v>
      </c>
      <c r="P284" s="102">
        <f t="shared" si="14"/>
        <v>1103.2</v>
      </c>
      <c r="Q284" s="97" t="s">
        <v>27</v>
      </c>
      <c r="R284" s="96" t="s">
        <v>28</v>
      </c>
      <c r="S284" s="96" t="s">
        <v>524</v>
      </c>
    </row>
    <row r="285" spans="1:19" ht="18" customHeight="1">
      <c r="A285" s="96" t="s">
        <v>1651</v>
      </c>
      <c r="B285" s="97" t="s">
        <v>1586</v>
      </c>
      <c r="C285" s="97" t="s">
        <v>1652</v>
      </c>
      <c r="D285" s="4" t="s">
        <v>22</v>
      </c>
      <c r="E285" s="97" t="s">
        <v>1588</v>
      </c>
      <c r="F285" s="97" t="s">
        <v>1629</v>
      </c>
      <c r="G285" s="97" t="s">
        <v>1653</v>
      </c>
      <c r="H285" s="97" t="s">
        <v>1654</v>
      </c>
      <c r="I285" s="97" t="s">
        <v>1632</v>
      </c>
      <c r="J285" s="98">
        <v>75</v>
      </c>
      <c r="K285" s="99">
        <f t="shared" si="12"/>
        <v>1.6666666666666667</v>
      </c>
      <c r="L285" s="99">
        <v>45</v>
      </c>
      <c r="M285" s="99">
        <v>4</v>
      </c>
      <c r="N285" s="100">
        <f t="shared" si="13"/>
        <v>18.75</v>
      </c>
      <c r="O285" s="101">
        <v>94.56</v>
      </c>
      <c r="P285" s="102">
        <f t="shared" si="14"/>
        <v>1773</v>
      </c>
      <c r="Q285" s="97" t="s">
        <v>27</v>
      </c>
      <c r="R285" s="96" t="s">
        <v>28</v>
      </c>
      <c r="S285" s="96" t="s">
        <v>125</v>
      </c>
    </row>
    <row r="286" spans="1:19" ht="18" customHeight="1">
      <c r="A286" s="96" t="s">
        <v>1655</v>
      </c>
      <c r="B286" s="97" t="s">
        <v>1586</v>
      </c>
      <c r="C286" s="97" t="s">
        <v>1656</v>
      </c>
      <c r="D286" s="4" t="s">
        <v>22</v>
      </c>
      <c r="E286" s="97" t="s">
        <v>1595</v>
      </c>
      <c r="F286" s="97" t="s">
        <v>1657</v>
      </c>
      <c r="G286" s="97" t="s">
        <v>1658</v>
      </c>
      <c r="H286" s="97" t="s">
        <v>1659</v>
      </c>
      <c r="I286" s="97" t="s">
        <v>1660</v>
      </c>
      <c r="J286" s="98">
        <v>55</v>
      </c>
      <c r="K286" s="99">
        <f t="shared" si="12"/>
        <v>1.2222222222222223</v>
      </c>
      <c r="L286" s="99">
        <v>45</v>
      </c>
      <c r="M286" s="99">
        <v>4</v>
      </c>
      <c r="N286" s="100">
        <f t="shared" si="13"/>
        <v>13.75</v>
      </c>
      <c r="O286" s="101">
        <v>94.56</v>
      </c>
      <c r="P286" s="102">
        <f t="shared" si="14"/>
        <v>1300.2</v>
      </c>
      <c r="Q286" s="97" t="s">
        <v>27</v>
      </c>
      <c r="R286" s="96" t="s">
        <v>28</v>
      </c>
      <c r="S286" s="96" t="s">
        <v>125</v>
      </c>
    </row>
    <row r="287" spans="1:19" ht="18" customHeight="1">
      <c r="A287" s="96" t="s">
        <v>1661</v>
      </c>
      <c r="B287" s="97" t="s">
        <v>1586</v>
      </c>
      <c r="C287" s="97" t="s">
        <v>1662</v>
      </c>
      <c r="D287" s="4" t="s">
        <v>22</v>
      </c>
      <c r="E287" s="97" t="s">
        <v>1588</v>
      </c>
      <c r="F287" s="97" t="s">
        <v>1663</v>
      </c>
      <c r="G287" s="97" t="s">
        <v>1664</v>
      </c>
      <c r="H287" s="97" t="s">
        <v>1591</v>
      </c>
      <c r="I287" s="97" t="s">
        <v>1665</v>
      </c>
      <c r="J287" s="98">
        <v>80</v>
      </c>
      <c r="K287" s="99">
        <f t="shared" si="12"/>
        <v>1.7777777777777777</v>
      </c>
      <c r="L287" s="99">
        <v>45</v>
      </c>
      <c r="M287" s="99">
        <v>4</v>
      </c>
      <c r="N287" s="100">
        <f t="shared" si="13"/>
        <v>20</v>
      </c>
      <c r="O287" s="101">
        <v>94.56</v>
      </c>
      <c r="P287" s="102">
        <f t="shared" si="14"/>
        <v>1891.2</v>
      </c>
      <c r="Q287" s="97" t="s">
        <v>27</v>
      </c>
      <c r="R287" s="96" t="s">
        <v>28</v>
      </c>
      <c r="S287" s="96" t="s">
        <v>125</v>
      </c>
    </row>
    <row r="288" spans="1:19" ht="18" customHeight="1">
      <c r="A288" s="96" t="s">
        <v>1666</v>
      </c>
      <c r="B288" s="97" t="s">
        <v>1586</v>
      </c>
      <c r="C288" s="97" t="s">
        <v>1667</v>
      </c>
      <c r="D288" s="11" t="s">
        <v>59</v>
      </c>
      <c r="E288" s="97" t="s">
        <v>1668</v>
      </c>
      <c r="F288" s="97" t="s">
        <v>1669</v>
      </c>
      <c r="G288" s="97" t="s">
        <v>1670</v>
      </c>
      <c r="H288" s="97" t="s">
        <v>1671</v>
      </c>
      <c r="I288" s="97" t="s">
        <v>1672</v>
      </c>
      <c r="J288" s="98">
        <v>60</v>
      </c>
      <c r="K288" s="99">
        <f t="shared" si="12"/>
        <v>2.4</v>
      </c>
      <c r="L288" s="99">
        <v>25</v>
      </c>
      <c r="M288" s="99">
        <v>3</v>
      </c>
      <c r="N288" s="100">
        <f t="shared" si="13"/>
        <v>20</v>
      </c>
      <c r="O288" s="101">
        <v>94.56</v>
      </c>
      <c r="P288" s="102">
        <f t="shared" si="14"/>
        <v>1891.2</v>
      </c>
      <c r="Q288" s="97" t="s">
        <v>64</v>
      </c>
      <c r="R288" s="96" t="s">
        <v>28</v>
      </c>
      <c r="S288" s="96" t="s">
        <v>138</v>
      </c>
    </row>
    <row r="289" spans="1:19" ht="18" customHeight="1">
      <c r="A289" s="103" t="s">
        <v>1673</v>
      </c>
      <c r="B289" s="104" t="s">
        <v>1674</v>
      </c>
      <c r="C289" s="104" t="s">
        <v>1675</v>
      </c>
      <c r="D289" s="12" t="s">
        <v>67</v>
      </c>
      <c r="E289" s="104" t="s">
        <v>1676</v>
      </c>
      <c r="F289" s="104" t="s">
        <v>1677</v>
      </c>
      <c r="G289" s="104" t="s">
        <v>1678</v>
      </c>
      <c r="H289" s="104" t="s">
        <v>1678</v>
      </c>
      <c r="I289" s="104" t="s">
        <v>1679</v>
      </c>
      <c r="J289" s="105">
        <v>75</v>
      </c>
      <c r="K289" s="106">
        <f t="shared" si="12"/>
        <v>1.875</v>
      </c>
      <c r="L289" s="106">
        <v>40</v>
      </c>
      <c r="M289" s="106">
        <v>3.5</v>
      </c>
      <c r="N289" s="107">
        <f t="shared" si="13"/>
        <v>21.428571428571427</v>
      </c>
      <c r="O289" s="108">
        <v>94.56</v>
      </c>
      <c r="P289" s="109">
        <f t="shared" si="14"/>
        <v>2026.2857142857142</v>
      </c>
      <c r="Q289" s="104" t="s">
        <v>64</v>
      </c>
      <c r="R289" s="103" t="s">
        <v>28</v>
      </c>
      <c r="S289" s="103" t="s">
        <v>72</v>
      </c>
    </row>
    <row r="290" spans="1:19" ht="18" customHeight="1">
      <c r="A290" s="103" t="s">
        <v>1680</v>
      </c>
      <c r="B290" s="104" t="s">
        <v>1674</v>
      </c>
      <c r="C290" s="104" t="s">
        <v>1681</v>
      </c>
      <c r="D290" s="11" t="s">
        <v>59</v>
      </c>
      <c r="E290" s="104" t="s">
        <v>1682</v>
      </c>
      <c r="F290" s="104" t="s">
        <v>1683</v>
      </c>
      <c r="G290" s="104" t="s">
        <v>1684</v>
      </c>
      <c r="H290" s="104" t="s">
        <v>1682</v>
      </c>
      <c r="I290" s="104" t="s">
        <v>1685</v>
      </c>
      <c r="J290" s="105">
        <v>55</v>
      </c>
      <c r="K290" s="106">
        <f t="shared" si="12"/>
        <v>2.2000000000000002</v>
      </c>
      <c r="L290" s="106">
        <v>25</v>
      </c>
      <c r="M290" s="106">
        <v>3</v>
      </c>
      <c r="N290" s="107">
        <f t="shared" si="13"/>
        <v>18.333333333333332</v>
      </c>
      <c r="O290" s="108">
        <v>94.56</v>
      </c>
      <c r="P290" s="109">
        <f t="shared" si="14"/>
        <v>1733.6</v>
      </c>
      <c r="Q290" s="104" t="s">
        <v>64</v>
      </c>
      <c r="R290" s="103" t="s">
        <v>28</v>
      </c>
      <c r="S290" s="103" t="s">
        <v>72</v>
      </c>
    </row>
    <row r="291" spans="1:19" ht="18" customHeight="1">
      <c r="A291" s="103" t="s">
        <v>1686</v>
      </c>
      <c r="B291" s="104" t="s">
        <v>1674</v>
      </c>
      <c r="C291" s="104" t="s">
        <v>1687</v>
      </c>
      <c r="D291" s="4" t="s">
        <v>22</v>
      </c>
      <c r="E291" s="104" t="s">
        <v>1676</v>
      </c>
      <c r="F291" s="104" t="s">
        <v>1688</v>
      </c>
      <c r="G291" s="104" t="s">
        <v>1689</v>
      </c>
      <c r="H291" s="104" t="s">
        <v>1689</v>
      </c>
      <c r="I291" s="104" t="s">
        <v>1690</v>
      </c>
      <c r="J291" s="105">
        <v>195</v>
      </c>
      <c r="K291" s="106">
        <f t="shared" si="12"/>
        <v>4.333333333333333</v>
      </c>
      <c r="L291" s="106">
        <v>45</v>
      </c>
      <c r="M291" s="106">
        <v>4</v>
      </c>
      <c r="N291" s="107">
        <f t="shared" si="13"/>
        <v>48.75</v>
      </c>
      <c r="O291" s="108">
        <v>94.56</v>
      </c>
      <c r="P291" s="109">
        <f t="shared" si="14"/>
        <v>4609.8</v>
      </c>
      <c r="Q291" s="104" t="s">
        <v>64</v>
      </c>
      <c r="R291" s="103" t="s">
        <v>28</v>
      </c>
      <c r="S291" s="103" t="s">
        <v>72</v>
      </c>
    </row>
    <row r="292" spans="1:19" ht="18" customHeight="1">
      <c r="A292" s="103" t="s">
        <v>1691</v>
      </c>
      <c r="B292" s="104" t="s">
        <v>1674</v>
      </c>
      <c r="C292" s="104" t="s">
        <v>1692</v>
      </c>
      <c r="D292" s="4" t="s">
        <v>22</v>
      </c>
      <c r="E292" s="104" t="s">
        <v>1676</v>
      </c>
      <c r="F292" s="104" t="s">
        <v>1693</v>
      </c>
      <c r="G292" s="104" t="s">
        <v>1694</v>
      </c>
      <c r="H292" s="104" t="s">
        <v>1694</v>
      </c>
      <c r="I292" s="104" t="s">
        <v>1685</v>
      </c>
      <c r="J292" s="105">
        <v>180</v>
      </c>
      <c r="K292" s="106">
        <f t="shared" si="12"/>
        <v>4</v>
      </c>
      <c r="L292" s="106">
        <v>45</v>
      </c>
      <c r="M292" s="106">
        <v>4</v>
      </c>
      <c r="N292" s="107">
        <f t="shared" si="13"/>
        <v>45</v>
      </c>
      <c r="O292" s="108">
        <v>94.56</v>
      </c>
      <c r="P292" s="109">
        <f t="shared" si="14"/>
        <v>4255.2</v>
      </c>
      <c r="Q292" s="104" t="s">
        <v>64</v>
      </c>
      <c r="R292" s="103" t="s">
        <v>28</v>
      </c>
      <c r="S292" s="103" t="s">
        <v>72</v>
      </c>
    </row>
    <row r="293" spans="1:19" ht="18" customHeight="1">
      <c r="A293" s="103" t="s">
        <v>1695</v>
      </c>
      <c r="B293" s="104" t="s">
        <v>1674</v>
      </c>
      <c r="C293" s="104" t="s">
        <v>1696</v>
      </c>
      <c r="D293" s="10" t="s">
        <v>45</v>
      </c>
      <c r="E293" s="104" t="s">
        <v>1697</v>
      </c>
      <c r="F293" s="104" t="s">
        <v>1698</v>
      </c>
      <c r="G293" s="104" t="s">
        <v>1676</v>
      </c>
      <c r="H293" s="104" t="s">
        <v>1676</v>
      </c>
      <c r="I293" s="104" t="s">
        <v>1699</v>
      </c>
      <c r="J293" s="105">
        <v>8</v>
      </c>
      <c r="K293" s="106">
        <f t="shared" si="12"/>
        <v>0.4</v>
      </c>
      <c r="L293" s="106">
        <v>20</v>
      </c>
      <c r="M293" s="106">
        <v>3.5</v>
      </c>
      <c r="N293" s="107">
        <f t="shared" si="13"/>
        <v>2.2857142857142856</v>
      </c>
      <c r="O293" s="108">
        <v>94.56</v>
      </c>
      <c r="P293" s="109">
        <f t="shared" si="14"/>
        <v>216.13714285714286</v>
      </c>
      <c r="Q293" s="104" t="s">
        <v>27</v>
      </c>
      <c r="R293" s="103" t="s">
        <v>28</v>
      </c>
      <c r="S293" s="103" t="s">
        <v>72</v>
      </c>
    </row>
    <row r="294" spans="1:19" ht="18" customHeight="1">
      <c r="A294" s="103" t="s">
        <v>1700</v>
      </c>
      <c r="B294" s="104" t="s">
        <v>1674</v>
      </c>
      <c r="C294" s="104" t="s">
        <v>1701</v>
      </c>
      <c r="D294" s="13" t="s">
        <v>81</v>
      </c>
      <c r="E294" s="104" t="s">
        <v>1676</v>
      </c>
      <c r="F294" s="104" t="s">
        <v>1688</v>
      </c>
      <c r="G294" s="104" t="s">
        <v>1702</v>
      </c>
      <c r="H294" s="104" t="s">
        <v>1702</v>
      </c>
      <c r="I294" s="104" t="s">
        <v>1690</v>
      </c>
      <c r="J294" s="105">
        <v>200</v>
      </c>
      <c r="K294" s="106">
        <f t="shared" si="12"/>
        <v>4</v>
      </c>
      <c r="L294" s="106">
        <v>50</v>
      </c>
      <c r="M294" s="106">
        <v>4.5</v>
      </c>
      <c r="N294" s="107">
        <f t="shared" si="13"/>
        <v>44.444444444444443</v>
      </c>
      <c r="O294" s="108">
        <v>94.56</v>
      </c>
      <c r="P294" s="109">
        <f t="shared" si="14"/>
        <v>4202.666666666667</v>
      </c>
      <c r="Q294" s="104" t="s">
        <v>64</v>
      </c>
      <c r="R294" s="103" t="s">
        <v>28</v>
      </c>
      <c r="S294" s="103" t="s">
        <v>86</v>
      </c>
    </row>
    <row r="295" spans="1:19" ht="18" customHeight="1">
      <c r="A295" s="103" t="s">
        <v>1703</v>
      </c>
      <c r="B295" s="104" t="s">
        <v>1674</v>
      </c>
      <c r="C295" s="104" t="s">
        <v>1704</v>
      </c>
      <c r="D295" s="13" t="s">
        <v>81</v>
      </c>
      <c r="E295" s="104" t="s">
        <v>1693</v>
      </c>
      <c r="F295" s="104" t="s">
        <v>1705</v>
      </c>
      <c r="G295" s="104" t="s">
        <v>1706</v>
      </c>
      <c r="H295" s="104" t="s">
        <v>1693</v>
      </c>
      <c r="I295" s="104" t="s">
        <v>617</v>
      </c>
      <c r="J295" s="105">
        <v>120</v>
      </c>
      <c r="K295" s="106">
        <f t="shared" si="12"/>
        <v>2.4</v>
      </c>
      <c r="L295" s="106">
        <v>50</v>
      </c>
      <c r="M295" s="106">
        <v>4.5</v>
      </c>
      <c r="N295" s="107">
        <f t="shared" si="13"/>
        <v>26.666666666666668</v>
      </c>
      <c r="O295" s="108">
        <v>94.56</v>
      </c>
      <c r="P295" s="109">
        <f t="shared" si="14"/>
        <v>2521.6000000000004</v>
      </c>
      <c r="Q295" s="104" t="s">
        <v>64</v>
      </c>
      <c r="R295" s="103" t="s">
        <v>28</v>
      </c>
      <c r="S295" s="103" t="s">
        <v>86</v>
      </c>
    </row>
    <row r="296" spans="1:19" ht="18" customHeight="1">
      <c r="A296" s="103" t="s">
        <v>1707</v>
      </c>
      <c r="B296" s="104" t="s">
        <v>1674</v>
      </c>
      <c r="C296" s="104" t="s">
        <v>1708</v>
      </c>
      <c r="D296" s="13" t="s">
        <v>81</v>
      </c>
      <c r="E296" s="104" t="s">
        <v>1676</v>
      </c>
      <c r="F296" s="104" t="s">
        <v>1709</v>
      </c>
      <c r="G296" s="104" t="s">
        <v>1710</v>
      </c>
      <c r="H296" s="104" t="s">
        <v>1711</v>
      </c>
      <c r="I296" s="104" t="s">
        <v>1712</v>
      </c>
      <c r="J296" s="105">
        <v>200</v>
      </c>
      <c r="K296" s="106">
        <f t="shared" si="12"/>
        <v>4</v>
      </c>
      <c r="L296" s="106">
        <v>50</v>
      </c>
      <c r="M296" s="106">
        <v>4.5</v>
      </c>
      <c r="N296" s="107">
        <f t="shared" si="13"/>
        <v>44.444444444444443</v>
      </c>
      <c r="O296" s="108">
        <v>94.56</v>
      </c>
      <c r="P296" s="109">
        <f t="shared" si="14"/>
        <v>4202.666666666667</v>
      </c>
      <c r="Q296" s="104" t="s">
        <v>64</v>
      </c>
      <c r="R296" s="103" t="s">
        <v>28</v>
      </c>
      <c r="S296" s="103" t="s">
        <v>86</v>
      </c>
    </row>
    <row r="297" spans="1:19" ht="18" customHeight="1">
      <c r="A297" s="103" t="s">
        <v>1713</v>
      </c>
      <c r="B297" s="104" t="s">
        <v>1674</v>
      </c>
      <c r="C297" s="104" t="s">
        <v>1714</v>
      </c>
      <c r="D297" s="11" t="s">
        <v>59</v>
      </c>
      <c r="E297" s="104" t="s">
        <v>1688</v>
      </c>
      <c r="F297" s="104" t="s">
        <v>1715</v>
      </c>
      <c r="G297" s="104" t="s">
        <v>1716</v>
      </c>
      <c r="H297" s="104" t="s">
        <v>1688</v>
      </c>
      <c r="I297" s="104" t="s">
        <v>1548</v>
      </c>
      <c r="J297" s="105">
        <v>35</v>
      </c>
      <c r="K297" s="106">
        <f t="shared" si="12"/>
        <v>1.4</v>
      </c>
      <c r="L297" s="106">
        <v>25</v>
      </c>
      <c r="M297" s="106">
        <v>3</v>
      </c>
      <c r="N297" s="107">
        <f t="shared" si="13"/>
        <v>11.666666666666666</v>
      </c>
      <c r="O297" s="108">
        <v>94.56</v>
      </c>
      <c r="P297" s="109">
        <f t="shared" si="14"/>
        <v>1103.2</v>
      </c>
      <c r="Q297" s="104" t="s">
        <v>64</v>
      </c>
      <c r="R297" s="103" t="s">
        <v>28</v>
      </c>
      <c r="S297" s="103" t="s">
        <v>524</v>
      </c>
    </row>
    <row r="298" spans="1:19" ht="18" customHeight="1">
      <c r="A298" s="103" t="s">
        <v>1717</v>
      </c>
      <c r="B298" s="104" t="s">
        <v>1674</v>
      </c>
      <c r="C298" s="104" t="s">
        <v>1718</v>
      </c>
      <c r="D298" s="11" t="s">
        <v>59</v>
      </c>
      <c r="E298" s="104" t="s">
        <v>1719</v>
      </c>
      <c r="F298" s="104" t="s">
        <v>1720</v>
      </c>
      <c r="G298" s="104" t="s">
        <v>1721</v>
      </c>
      <c r="H298" s="104" t="s">
        <v>1719</v>
      </c>
      <c r="I298" s="104" t="s">
        <v>1679</v>
      </c>
      <c r="J298" s="105">
        <v>45</v>
      </c>
      <c r="K298" s="106">
        <f t="shared" si="12"/>
        <v>1.8</v>
      </c>
      <c r="L298" s="106">
        <v>25</v>
      </c>
      <c r="M298" s="106">
        <v>3</v>
      </c>
      <c r="N298" s="107">
        <f t="shared" si="13"/>
        <v>15</v>
      </c>
      <c r="O298" s="108">
        <v>94.56</v>
      </c>
      <c r="P298" s="109">
        <f t="shared" si="14"/>
        <v>1418.4</v>
      </c>
      <c r="Q298" s="104" t="s">
        <v>64</v>
      </c>
      <c r="R298" s="103" t="s">
        <v>28</v>
      </c>
      <c r="S298" s="103" t="s">
        <v>524</v>
      </c>
    </row>
    <row r="299" spans="1:19" ht="18" customHeight="1">
      <c r="A299" s="103" t="s">
        <v>1722</v>
      </c>
      <c r="B299" s="104" t="s">
        <v>1674</v>
      </c>
      <c r="C299" s="104" t="s">
        <v>1723</v>
      </c>
      <c r="D299" s="11" t="s">
        <v>59</v>
      </c>
      <c r="E299" s="104" t="s">
        <v>1724</v>
      </c>
      <c r="F299" s="104" t="s">
        <v>1725</v>
      </c>
      <c r="G299" s="104" t="s">
        <v>1726</v>
      </c>
      <c r="H299" s="104" t="s">
        <v>1727</v>
      </c>
      <c r="I299" s="104" t="s">
        <v>1712</v>
      </c>
      <c r="J299" s="105">
        <v>55</v>
      </c>
      <c r="K299" s="106">
        <f t="shared" si="12"/>
        <v>2.2000000000000002</v>
      </c>
      <c r="L299" s="106">
        <v>25</v>
      </c>
      <c r="M299" s="106">
        <v>3</v>
      </c>
      <c r="N299" s="107">
        <f t="shared" si="13"/>
        <v>18.333333333333332</v>
      </c>
      <c r="O299" s="108">
        <v>94.56</v>
      </c>
      <c r="P299" s="109">
        <f t="shared" si="14"/>
        <v>1733.6</v>
      </c>
      <c r="Q299" s="104" t="s">
        <v>64</v>
      </c>
      <c r="R299" s="103" t="s">
        <v>28</v>
      </c>
      <c r="S299" s="103" t="s">
        <v>524</v>
      </c>
    </row>
    <row r="300" spans="1:19" ht="18" customHeight="1">
      <c r="A300" s="103" t="s">
        <v>1728</v>
      </c>
      <c r="B300" s="104" t="s">
        <v>1674</v>
      </c>
      <c r="C300" s="104" t="s">
        <v>1729</v>
      </c>
      <c r="D300" s="11" t="s">
        <v>59</v>
      </c>
      <c r="E300" s="104" t="s">
        <v>1730</v>
      </c>
      <c r="F300" s="104" t="s">
        <v>1731</v>
      </c>
      <c r="G300" s="104" t="s">
        <v>1732</v>
      </c>
      <c r="H300" s="104" t="s">
        <v>1730</v>
      </c>
      <c r="I300" s="104" t="s">
        <v>1733</v>
      </c>
      <c r="J300" s="105">
        <v>45</v>
      </c>
      <c r="K300" s="106">
        <f t="shared" si="12"/>
        <v>1.8</v>
      </c>
      <c r="L300" s="106">
        <v>25</v>
      </c>
      <c r="M300" s="106">
        <v>3</v>
      </c>
      <c r="N300" s="107">
        <f t="shared" si="13"/>
        <v>15</v>
      </c>
      <c r="O300" s="108">
        <v>94.56</v>
      </c>
      <c r="P300" s="109">
        <f t="shared" si="14"/>
        <v>1418.4</v>
      </c>
      <c r="Q300" s="104" t="s">
        <v>64</v>
      </c>
      <c r="R300" s="103" t="s">
        <v>28</v>
      </c>
      <c r="S300" s="103" t="s">
        <v>524</v>
      </c>
    </row>
    <row r="301" spans="1:19" ht="18" customHeight="1">
      <c r="A301" s="103" t="s">
        <v>1734</v>
      </c>
      <c r="B301" s="104" t="s">
        <v>1674</v>
      </c>
      <c r="C301" s="104" t="s">
        <v>1735</v>
      </c>
      <c r="D301" s="11" t="s">
        <v>59</v>
      </c>
      <c r="E301" s="104" t="s">
        <v>1736</v>
      </c>
      <c r="F301" s="104" t="s">
        <v>1737</v>
      </c>
      <c r="G301" s="104" t="s">
        <v>1738</v>
      </c>
      <c r="H301" s="104" t="s">
        <v>1736</v>
      </c>
      <c r="I301" s="104" t="s">
        <v>1679</v>
      </c>
      <c r="J301" s="105">
        <v>30</v>
      </c>
      <c r="K301" s="106">
        <f t="shared" si="12"/>
        <v>1.2</v>
      </c>
      <c r="L301" s="106">
        <v>25</v>
      </c>
      <c r="M301" s="106">
        <v>3</v>
      </c>
      <c r="N301" s="107">
        <f t="shared" si="13"/>
        <v>10</v>
      </c>
      <c r="O301" s="108">
        <v>94.56</v>
      </c>
      <c r="P301" s="109">
        <f t="shared" si="14"/>
        <v>945.6</v>
      </c>
      <c r="Q301" s="104" t="s">
        <v>64</v>
      </c>
      <c r="R301" s="103" t="s">
        <v>28</v>
      </c>
      <c r="S301" s="103" t="s">
        <v>524</v>
      </c>
    </row>
    <row r="302" spans="1:19" ht="18" customHeight="1">
      <c r="A302" s="103" t="s">
        <v>1739</v>
      </c>
      <c r="B302" s="104" t="s">
        <v>1674</v>
      </c>
      <c r="C302" s="104" t="s">
        <v>1740</v>
      </c>
      <c r="D302" s="4" t="s">
        <v>22</v>
      </c>
      <c r="E302" s="104" t="s">
        <v>1693</v>
      </c>
      <c r="F302" s="104" t="s">
        <v>1682</v>
      </c>
      <c r="G302" s="104" t="s">
        <v>1741</v>
      </c>
      <c r="H302" s="104" t="s">
        <v>1741</v>
      </c>
      <c r="I302" s="104" t="s">
        <v>1685</v>
      </c>
      <c r="J302" s="105">
        <v>130</v>
      </c>
      <c r="K302" s="106">
        <f t="shared" si="12"/>
        <v>2.8888888888888888</v>
      </c>
      <c r="L302" s="106">
        <v>45</v>
      </c>
      <c r="M302" s="106">
        <v>4</v>
      </c>
      <c r="N302" s="107">
        <f t="shared" si="13"/>
        <v>32.5</v>
      </c>
      <c r="O302" s="108">
        <v>94.56</v>
      </c>
      <c r="P302" s="109">
        <f t="shared" si="14"/>
        <v>3073.2000000000003</v>
      </c>
      <c r="Q302" s="104" t="s">
        <v>64</v>
      </c>
      <c r="R302" s="103" t="s">
        <v>28</v>
      </c>
      <c r="S302" s="103" t="s">
        <v>125</v>
      </c>
    </row>
    <row r="303" spans="1:19" ht="18" customHeight="1">
      <c r="A303" s="103" t="s">
        <v>1742</v>
      </c>
      <c r="B303" s="104" t="s">
        <v>1674</v>
      </c>
      <c r="C303" s="104" t="s">
        <v>1743</v>
      </c>
      <c r="D303" s="11" t="s">
        <v>59</v>
      </c>
      <c r="E303" s="104" t="s">
        <v>1744</v>
      </c>
      <c r="F303" s="104" t="s">
        <v>1745</v>
      </c>
      <c r="G303" s="104" t="s">
        <v>1746</v>
      </c>
      <c r="H303" s="104" t="s">
        <v>1744</v>
      </c>
      <c r="I303" s="104" t="s">
        <v>1747</v>
      </c>
      <c r="J303" s="105">
        <v>50</v>
      </c>
      <c r="K303" s="106">
        <f t="shared" si="12"/>
        <v>2</v>
      </c>
      <c r="L303" s="106">
        <v>25</v>
      </c>
      <c r="M303" s="106">
        <v>3</v>
      </c>
      <c r="N303" s="107">
        <f t="shared" si="13"/>
        <v>16.666666666666668</v>
      </c>
      <c r="O303" s="108">
        <v>94.56</v>
      </c>
      <c r="P303" s="109">
        <f t="shared" si="14"/>
        <v>1576.0000000000002</v>
      </c>
      <c r="Q303" s="104" t="s">
        <v>64</v>
      </c>
      <c r="R303" s="103" t="s">
        <v>28</v>
      </c>
      <c r="S303" s="103" t="s">
        <v>138</v>
      </c>
    </row>
    <row r="304" spans="1:19" ht="18" customHeight="1">
      <c r="A304" s="110" t="s">
        <v>1748</v>
      </c>
      <c r="B304" s="111" t="s">
        <v>1749</v>
      </c>
      <c r="C304" s="111" t="s">
        <v>1750</v>
      </c>
      <c r="D304" s="13" t="s">
        <v>81</v>
      </c>
      <c r="E304" s="111" t="s">
        <v>1751</v>
      </c>
      <c r="F304" s="111" t="s">
        <v>1752</v>
      </c>
      <c r="G304" s="111" t="s">
        <v>1753</v>
      </c>
      <c r="H304" s="111" t="s">
        <v>1754</v>
      </c>
      <c r="I304" s="111" t="s">
        <v>1755</v>
      </c>
      <c r="J304" s="112">
        <v>110</v>
      </c>
      <c r="K304" s="113">
        <f t="shared" si="12"/>
        <v>2.2000000000000002</v>
      </c>
      <c r="L304" s="113">
        <v>50</v>
      </c>
      <c r="M304" s="113">
        <v>4.5</v>
      </c>
      <c r="N304" s="114">
        <f t="shared" si="13"/>
        <v>24.444444444444443</v>
      </c>
      <c r="O304" s="115">
        <v>94.56</v>
      </c>
      <c r="P304" s="116">
        <f t="shared" si="14"/>
        <v>2311.4666666666667</v>
      </c>
      <c r="Q304" s="111" t="s">
        <v>64</v>
      </c>
      <c r="R304" s="110" t="s">
        <v>28</v>
      </c>
      <c r="S304" s="110" t="s">
        <v>86</v>
      </c>
    </row>
    <row r="305" spans="1:19" ht="18" customHeight="1">
      <c r="A305" s="110" t="s">
        <v>1756</v>
      </c>
      <c r="B305" s="111" t="s">
        <v>1749</v>
      </c>
      <c r="C305" s="111" t="s">
        <v>1757</v>
      </c>
      <c r="D305" s="13" t="s">
        <v>81</v>
      </c>
      <c r="E305" s="111" t="s">
        <v>1758</v>
      </c>
      <c r="F305" s="111" t="s">
        <v>1751</v>
      </c>
      <c r="G305" s="111" t="s">
        <v>1759</v>
      </c>
      <c r="H305" s="111" t="s">
        <v>1759</v>
      </c>
      <c r="I305" s="111" t="s">
        <v>1760</v>
      </c>
      <c r="J305" s="112">
        <v>74</v>
      </c>
      <c r="K305" s="113">
        <f t="shared" si="12"/>
        <v>1.48</v>
      </c>
      <c r="L305" s="113">
        <v>50</v>
      </c>
      <c r="M305" s="113">
        <v>4.5</v>
      </c>
      <c r="N305" s="114">
        <f t="shared" si="13"/>
        <v>16.444444444444443</v>
      </c>
      <c r="O305" s="115">
        <v>94.56</v>
      </c>
      <c r="P305" s="116">
        <f t="shared" si="14"/>
        <v>1554.9866666666665</v>
      </c>
      <c r="Q305" s="111" t="s">
        <v>27</v>
      </c>
      <c r="R305" s="110" t="s">
        <v>85</v>
      </c>
      <c r="S305" s="110" t="s">
        <v>86</v>
      </c>
    </row>
    <row r="306" spans="1:19" ht="18" customHeight="1">
      <c r="A306" s="110" t="s">
        <v>1761</v>
      </c>
      <c r="B306" s="111" t="s">
        <v>1749</v>
      </c>
      <c r="C306" s="111" t="s">
        <v>1762</v>
      </c>
      <c r="D306" s="13" t="s">
        <v>81</v>
      </c>
      <c r="E306" s="111" t="s">
        <v>1751</v>
      </c>
      <c r="F306" s="111" t="s">
        <v>1758</v>
      </c>
      <c r="G306" s="111" t="s">
        <v>1763</v>
      </c>
      <c r="H306" s="111" t="s">
        <v>1764</v>
      </c>
      <c r="I306" s="111" t="s">
        <v>1765</v>
      </c>
      <c r="J306" s="112">
        <v>74</v>
      </c>
      <c r="K306" s="113">
        <f t="shared" si="12"/>
        <v>1.48</v>
      </c>
      <c r="L306" s="113">
        <v>50</v>
      </c>
      <c r="M306" s="113">
        <v>4.5</v>
      </c>
      <c r="N306" s="114">
        <f t="shared" si="13"/>
        <v>16.444444444444443</v>
      </c>
      <c r="O306" s="115">
        <v>94.56</v>
      </c>
      <c r="P306" s="116">
        <f t="shared" si="14"/>
        <v>1554.9866666666665</v>
      </c>
      <c r="Q306" s="111" t="s">
        <v>27</v>
      </c>
      <c r="R306" s="110" t="s">
        <v>85</v>
      </c>
      <c r="S306" s="110" t="s">
        <v>86</v>
      </c>
    </row>
    <row r="307" spans="1:19" ht="18" customHeight="1">
      <c r="A307" s="110" t="s">
        <v>1766</v>
      </c>
      <c r="B307" s="111" t="s">
        <v>1749</v>
      </c>
      <c r="C307" s="111" t="s">
        <v>1767</v>
      </c>
      <c r="D307" s="12" t="s">
        <v>67</v>
      </c>
      <c r="E307" s="111" t="s">
        <v>1768</v>
      </c>
      <c r="F307" s="111" t="s">
        <v>1769</v>
      </c>
      <c r="G307" s="111" t="s">
        <v>1770</v>
      </c>
      <c r="H307" s="111" t="s">
        <v>1770</v>
      </c>
      <c r="I307" s="111" t="s">
        <v>1771</v>
      </c>
      <c r="J307" s="112">
        <v>70</v>
      </c>
      <c r="K307" s="113">
        <f t="shared" si="12"/>
        <v>1.75</v>
      </c>
      <c r="L307" s="113">
        <v>40</v>
      </c>
      <c r="M307" s="113">
        <v>3.5</v>
      </c>
      <c r="N307" s="114">
        <f t="shared" si="13"/>
        <v>20</v>
      </c>
      <c r="O307" s="115">
        <v>94.56</v>
      </c>
      <c r="P307" s="116">
        <f t="shared" si="14"/>
        <v>1891.2</v>
      </c>
      <c r="Q307" s="111" t="s">
        <v>64</v>
      </c>
      <c r="R307" s="110" t="s">
        <v>28</v>
      </c>
      <c r="S307" s="110" t="s">
        <v>86</v>
      </c>
    </row>
    <row r="308" spans="1:19" ht="18" customHeight="1">
      <c r="A308" s="110" t="s">
        <v>1772</v>
      </c>
      <c r="B308" s="111" t="s">
        <v>1749</v>
      </c>
      <c r="C308" s="111" t="s">
        <v>1773</v>
      </c>
      <c r="D308" s="11" t="s">
        <v>59</v>
      </c>
      <c r="E308" s="111" t="s">
        <v>1774</v>
      </c>
      <c r="F308" s="111" t="s">
        <v>1775</v>
      </c>
      <c r="G308" s="111" t="s">
        <v>1776</v>
      </c>
      <c r="H308" s="111" t="s">
        <v>1774</v>
      </c>
      <c r="I308" s="111" t="s">
        <v>1777</v>
      </c>
      <c r="J308" s="112">
        <v>50</v>
      </c>
      <c r="K308" s="113">
        <f t="shared" si="12"/>
        <v>2</v>
      </c>
      <c r="L308" s="113">
        <v>25</v>
      </c>
      <c r="M308" s="113">
        <v>3</v>
      </c>
      <c r="N308" s="114">
        <f t="shared" si="13"/>
        <v>16.666666666666668</v>
      </c>
      <c r="O308" s="115">
        <v>94.56</v>
      </c>
      <c r="P308" s="116">
        <f t="shared" si="14"/>
        <v>1576.0000000000002</v>
      </c>
      <c r="Q308" s="111" t="s">
        <v>64</v>
      </c>
      <c r="R308" s="110" t="s">
        <v>28</v>
      </c>
      <c r="S308" s="110" t="s">
        <v>86</v>
      </c>
    </row>
    <row r="309" spans="1:19" ht="18" customHeight="1">
      <c r="A309" s="110" t="s">
        <v>1778</v>
      </c>
      <c r="B309" s="111" t="s">
        <v>1749</v>
      </c>
      <c r="C309" s="111" t="s">
        <v>1779</v>
      </c>
      <c r="D309" s="4" t="s">
        <v>22</v>
      </c>
      <c r="E309" s="111" t="s">
        <v>1751</v>
      </c>
      <c r="F309" s="111" t="s">
        <v>1780</v>
      </c>
      <c r="G309" s="111" t="s">
        <v>1781</v>
      </c>
      <c r="H309" s="111" t="s">
        <v>1781</v>
      </c>
      <c r="I309" s="111" t="s">
        <v>1782</v>
      </c>
      <c r="J309" s="112">
        <v>90</v>
      </c>
      <c r="K309" s="113">
        <f t="shared" si="12"/>
        <v>2</v>
      </c>
      <c r="L309" s="113">
        <v>45</v>
      </c>
      <c r="M309" s="113">
        <v>4</v>
      </c>
      <c r="N309" s="114">
        <f t="shared" si="13"/>
        <v>22.5</v>
      </c>
      <c r="O309" s="115">
        <v>94.56</v>
      </c>
      <c r="P309" s="116">
        <f t="shared" si="14"/>
        <v>2127.6</v>
      </c>
      <c r="Q309" s="111" t="s">
        <v>64</v>
      </c>
      <c r="R309" s="110" t="s">
        <v>28</v>
      </c>
      <c r="S309" s="110" t="s">
        <v>86</v>
      </c>
    </row>
    <row r="310" spans="1:19" ht="18" customHeight="1">
      <c r="A310" s="110" t="s">
        <v>1783</v>
      </c>
      <c r="B310" s="111" t="s">
        <v>1749</v>
      </c>
      <c r="C310" s="111" t="s">
        <v>1784</v>
      </c>
      <c r="D310" s="10" t="s">
        <v>45</v>
      </c>
      <c r="E310" s="111" t="s">
        <v>1785</v>
      </c>
      <c r="F310" s="111" t="s">
        <v>1786</v>
      </c>
      <c r="G310" s="111" t="s">
        <v>1758</v>
      </c>
      <c r="H310" s="111" t="s">
        <v>1758</v>
      </c>
      <c r="I310" s="111" t="s">
        <v>1787</v>
      </c>
      <c r="J310" s="112">
        <v>12</v>
      </c>
      <c r="K310" s="113">
        <f t="shared" si="12"/>
        <v>0.6</v>
      </c>
      <c r="L310" s="113">
        <v>20</v>
      </c>
      <c r="M310" s="113">
        <v>3.5</v>
      </c>
      <c r="N310" s="114">
        <f t="shared" si="13"/>
        <v>3.4285714285714284</v>
      </c>
      <c r="O310" s="115">
        <v>94.56</v>
      </c>
      <c r="P310" s="116">
        <f t="shared" si="14"/>
        <v>324.20571428571429</v>
      </c>
      <c r="Q310" s="111" t="s">
        <v>37</v>
      </c>
      <c r="R310" s="110" t="s">
        <v>28</v>
      </c>
      <c r="S310" s="110" t="s">
        <v>86</v>
      </c>
    </row>
    <row r="311" spans="1:19" ht="18" customHeight="1">
      <c r="A311" s="110" t="s">
        <v>1788</v>
      </c>
      <c r="B311" s="111" t="s">
        <v>1749</v>
      </c>
      <c r="C311" s="111" t="s">
        <v>1789</v>
      </c>
      <c r="D311" s="10" t="s">
        <v>45</v>
      </c>
      <c r="E311" s="111" t="s">
        <v>1790</v>
      </c>
      <c r="F311" s="111" t="s">
        <v>1791</v>
      </c>
      <c r="G311" s="111" t="s">
        <v>1751</v>
      </c>
      <c r="H311" s="111" t="s">
        <v>1751</v>
      </c>
      <c r="I311" s="111" t="s">
        <v>1792</v>
      </c>
      <c r="J311" s="112">
        <v>6</v>
      </c>
      <c r="K311" s="113">
        <f t="shared" si="12"/>
        <v>0.3</v>
      </c>
      <c r="L311" s="113">
        <v>20</v>
      </c>
      <c r="M311" s="113">
        <v>3.5</v>
      </c>
      <c r="N311" s="114">
        <f t="shared" si="13"/>
        <v>1.7142857142857142</v>
      </c>
      <c r="O311" s="115">
        <v>94.56</v>
      </c>
      <c r="P311" s="116">
        <f t="shared" si="14"/>
        <v>162.10285714285715</v>
      </c>
      <c r="Q311" s="111" t="s">
        <v>27</v>
      </c>
      <c r="R311" s="110" t="s">
        <v>28</v>
      </c>
      <c r="S311" s="110" t="s">
        <v>86</v>
      </c>
    </row>
    <row r="312" spans="1:19" ht="18" customHeight="1">
      <c r="A312" s="110" t="s">
        <v>1793</v>
      </c>
      <c r="B312" s="111" t="s">
        <v>1749</v>
      </c>
      <c r="C312" s="111" t="s">
        <v>1794</v>
      </c>
      <c r="D312" s="11" t="s">
        <v>59</v>
      </c>
      <c r="E312" s="111" t="s">
        <v>1795</v>
      </c>
      <c r="F312" s="111" t="s">
        <v>1796</v>
      </c>
      <c r="G312" s="111" t="s">
        <v>1797</v>
      </c>
      <c r="H312" s="111" t="s">
        <v>1795</v>
      </c>
      <c r="I312" s="111" t="s">
        <v>1798</v>
      </c>
      <c r="J312" s="112">
        <v>45</v>
      </c>
      <c r="K312" s="113">
        <f t="shared" si="12"/>
        <v>1.8</v>
      </c>
      <c r="L312" s="113">
        <v>25</v>
      </c>
      <c r="M312" s="113">
        <v>3</v>
      </c>
      <c r="N312" s="114">
        <f t="shared" si="13"/>
        <v>15</v>
      </c>
      <c r="O312" s="115">
        <v>94.56</v>
      </c>
      <c r="P312" s="116">
        <f t="shared" si="14"/>
        <v>1418.4</v>
      </c>
      <c r="Q312" s="111" t="s">
        <v>64</v>
      </c>
      <c r="R312" s="110" t="s">
        <v>28</v>
      </c>
      <c r="S312" s="110" t="s">
        <v>524</v>
      </c>
    </row>
    <row r="313" spans="1:19" ht="18" customHeight="1">
      <c r="A313" s="110" t="s">
        <v>1799</v>
      </c>
      <c r="B313" s="111" t="s">
        <v>1749</v>
      </c>
      <c r="C313" s="111" t="s">
        <v>1800</v>
      </c>
      <c r="D313" s="11" t="s">
        <v>59</v>
      </c>
      <c r="E313" s="111" t="s">
        <v>1801</v>
      </c>
      <c r="F313" s="111" t="s">
        <v>1802</v>
      </c>
      <c r="G313" s="111" t="s">
        <v>1803</v>
      </c>
      <c r="H313" s="111" t="s">
        <v>1801</v>
      </c>
      <c r="I313" s="111" t="s">
        <v>1804</v>
      </c>
      <c r="J313" s="112">
        <v>40</v>
      </c>
      <c r="K313" s="113">
        <f t="shared" si="12"/>
        <v>1.6</v>
      </c>
      <c r="L313" s="113">
        <v>25</v>
      </c>
      <c r="M313" s="113">
        <v>3</v>
      </c>
      <c r="N313" s="114">
        <f t="shared" si="13"/>
        <v>13.333333333333334</v>
      </c>
      <c r="O313" s="115">
        <v>94.56</v>
      </c>
      <c r="P313" s="116">
        <f t="shared" si="14"/>
        <v>1260.8000000000002</v>
      </c>
      <c r="Q313" s="111" t="s">
        <v>64</v>
      </c>
      <c r="R313" s="110" t="s">
        <v>28</v>
      </c>
      <c r="S313" s="110" t="s">
        <v>524</v>
      </c>
    </row>
    <row r="314" spans="1:19" ht="18" customHeight="1">
      <c r="A314" s="110" t="s">
        <v>1805</v>
      </c>
      <c r="B314" s="111" t="s">
        <v>1749</v>
      </c>
      <c r="C314" s="111" t="s">
        <v>1806</v>
      </c>
      <c r="D314" s="11" t="s">
        <v>59</v>
      </c>
      <c r="E314" s="111" t="s">
        <v>1774</v>
      </c>
      <c r="F314" s="111" t="s">
        <v>1807</v>
      </c>
      <c r="G314" s="111" t="s">
        <v>1808</v>
      </c>
      <c r="H314" s="111" t="s">
        <v>1774</v>
      </c>
      <c r="I314" s="111" t="s">
        <v>1548</v>
      </c>
      <c r="J314" s="112">
        <v>55</v>
      </c>
      <c r="K314" s="113">
        <f t="shared" si="12"/>
        <v>2.2000000000000002</v>
      </c>
      <c r="L314" s="113">
        <v>25</v>
      </c>
      <c r="M314" s="113">
        <v>3</v>
      </c>
      <c r="N314" s="114">
        <f t="shared" si="13"/>
        <v>18.333333333333332</v>
      </c>
      <c r="O314" s="115">
        <v>94.56</v>
      </c>
      <c r="P314" s="116">
        <f t="shared" si="14"/>
        <v>1733.6</v>
      </c>
      <c r="Q314" s="111" t="s">
        <v>64</v>
      </c>
      <c r="R314" s="110" t="s">
        <v>28</v>
      </c>
      <c r="S314" s="110" t="s">
        <v>524</v>
      </c>
    </row>
    <row r="315" spans="1:19" ht="18" customHeight="1">
      <c r="A315" s="110" t="s">
        <v>1809</v>
      </c>
      <c r="B315" s="111" t="s">
        <v>1749</v>
      </c>
      <c r="C315" s="111" t="s">
        <v>1810</v>
      </c>
      <c r="D315" s="11" t="s">
        <v>59</v>
      </c>
      <c r="E315" s="111" t="s">
        <v>1811</v>
      </c>
      <c r="F315" s="111" t="s">
        <v>1812</v>
      </c>
      <c r="G315" s="111" t="s">
        <v>1813</v>
      </c>
      <c r="H315" s="111" t="s">
        <v>1811</v>
      </c>
      <c r="I315" s="111" t="s">
        <v>1814</v>
      </c>
      <c r="J315" s="112">
        <v>35</v>
      </c>
      <c r="K315" s="113">
        <f t="shared" si="12"/>
        <v>1.4</v>
      </c>
      <c r="L315" s="113">
        <v>25</v>
      </c>
      <c r="M315" s="113">
        <v>3</v>
      </c>
      <c r="N315" s="114">
        <f t="shared" si="13"/>
        <v>11.666666666666666</v>
      </c>
      <c r="O315" s="115">
        <v>94.56</v>
      </c>
      <c r="P315" s="116">
        <f t="shared" si="14"/>
        <v>1103.2</v>
      </c>
      <c r="Q315" s="111" t="s">
        <v>64</v>
      </c>
      <c r="R315" s="110" t="s">
        <v>28</v>
      </c>
      <c r="S315" s="110" t="s">
        <v>524</v>
      </c>
    </row>
    <row r="316" spans="1:19" ht="18" customHeight="1">
      <c r="A316" s="110" t="s">
        <v>1815</v>
      </c>
      <c r="B316" s="111" t="s">
        <v>1749</v>
      </c>
      <c r="C316" s="111" t="s">
        <v>1816</v>
      </c>
      <c r="D316" s="11" t="s">
        <v>59</v>
      </c>
      <c r="E316" s="111" t="s">
        <v>1817</v>
      </c>
      <c r="F316" s="111" t="s">
        <v>1818</v>
      </c>
      <c r="G316" s="111" t="s">
        <v>1819</v>
      </c>
      <c r="H316" s="111" t="s">
        <v>1820</v>
      </c>
      <c r="I316" s="111" t="s">
        <v>1760</v>
      </c>
      <c r="J316" s="112">
        <v>30</v>
      </c>
      <c r="K316" s="113">
        <f t="shared" si="12"/>
        <v>1.2</v>
      </c>
      <c r="L316" s="113">
        <v>25</v>
      </c>
      <c r="M316" s="113">
        <v>3</v>
      </c>
      <c r="N316" s="114">
        <f t="shared" si="13"/>
        <v>10</v>
      </c>
      <c r="O316" s="115">
        <v>94.56</v>
      </c>
      <c r="P316" s="116">
        <f t="shared" si="14"/>
        <v>945.6</v>
      </c>
      <c r="Q316" s="111" t="s">
        <v>64</v>
      </c>
      <c r="R316" s="110" t="s">
        <v>28</v>
      </c>
      <c r="S316" s="110" t="s">
        <v>524</v>
      </c>
    </row>
    <row r="317" spans="1:19" ht="18" customHeight="1">
      <c r="A317" s="110" t="s">
        <v>1821</v>
      </c>
      <c r="B317" s="111" t="s">
        <v>1749</v>
      </c>
      <c r="C317" s="111" t="s">
        <v>1822</v>
      </c>
      <c r="D317" s="4" t="s">
        <v>22</v>
      </c>
      <c r="E317" s="111" t="s">
        <v>1758</v>
      </c>
      <c r="F317" s="111" t="s">
        <v>1769</v>
      </c>
      <c r="G317" s="111" t="s">
        <v>1823</v>
      </c>
      <c r="H317" s="111" t="s">
        <v>1823</v>
      </c>
      <c r="I317" s="111" t="s">
        <v>1824</v>
      </c>
      <c r="J317" s="112">
        <v>95</v>
      </c>
      <c r="K317" s="113">
        <f t="shared" si="12"/>
        <v>2.1111111111111112</v>
      </c>
      <c r="L317" s="113">
        <v>45</v>
      </c>
      <c r="M317" s="113">
        <v>4</v>
      </c>
      <c r="N317" s="114">
        <f t="shared" si="13"/>
        <v>23.75</v>
      </c>
      <c r="O317" s="115">
        <v>94.56</v>
      </c>
      <c r="P317" s="116">
        <f t="shared" si="14"/>
        <v>2245.8000000000002</v>
      </c>
      <c r="Q317" s="111" t="s">
        <v>27</v>
      </c>
      <c r="R317" s="110" t="s">
        <v>28</v>
      </c>
      <c r="S317" s="110" t="s">
        <v>125</v>
      </c>
    </row>
    <row r="318" spans="1:19" ht="18" customHeight="1">
      <c r="A318" s="110" t="s">
        <v>1825</v>
      </c>
      <c r="B318" s="111" t="s">
        <v>1749</v>
      </c>
      <c r="C318" s="111" t="s">
        <v>1826</v>
      </c>
      <c r="D318" s="4" t="s">
        <v>22</v>
      </c>
      <c r="E318" s="111" t="s">
        <v>1751</v>
      </c>
      <c r="F318" s="111" t="s">
        <v>1827</v>
      </c>
      <c r="G318" s="111" t="s">
        <v>1828</v>
      </c>
      <c r="H318" s="111" t="s">
        <v>1828</v>
      </c>
      <c r="I318" s="111" t="s">
        <v>1760</v>
      </c>
      <c r="J318" s="112">
        <v>75</v>
      </c>
      <c r="K318" s="113">
        <f t="shared" si="12"/>
        <v>1.6666666666666667</v>
      </c>
      <c r="L318" s="113">
        <v>45</v>
      </c>
      <c r="M318" s="113">
        <v>4</v>
      </c>
      <c r="N318" s="114">
        <f t="shared" si="13"/>
        <v>18.75</v>
      </c>
      <c r="O318" s="115">
        <v>94.56</v>
      </c>
      <c r="P318" s="116">
        <f t="shared" si="14"/>
        <v>1773</v>
      </c>
      <c r="Q318" s="111" t="s">
        <v>64</v>
      </c>
      <c r="R318" s="110" t="s">
        <v>28</v>
      </c>
      <c r="S318" s="110" t="s">
        <v>125</v>
      </c>
    </row>
    <row r="319" spans="1:19" ht="18" customHeight="1">
      <c r="A319" s="117" t="s">
        <v>1829</v>
      </c>
      <c r="B319" s="118" t="s">
        <v>1830</v>
      </c>
      <c r="C319" s="118" t="s">
        <v>1831</v>
      </c>
      <c r="D319" s="13" t="s">
        <v>81</v>
      </c>
      <c r="E319" s="118" t="s">
        <v>1832</v>
      </c>
      <c r="F319" s="118" t="s">
        <v>1833</v>
      </c>
      <c r="G319" s="118" t="s">
        <v>1834</v>
      </c>
      <c r="H319" s="118" t="s">
        <v>1835</v>
      </c>
      <c r="I319" s="118" t="s">
        <v>1836</v>
      </c>
      <c r="J319" s="119">
        <v>360</v>
      </c>
      <c r="K319" s="120">
        <f t="shared" si="12"/>
        <v>7.2</v>
      </c>
      <c r="L319" s="120">
        <v>50</v>
      </c>
      <c r="M319" s="120">
        <v>4.5</v>
      </c>
      <c r="N319" s="121">
        <f t="shared" si="13"/>
        <v>80</v>
      </c>
      <c r="O319" s="122">
        <v>94.56</v>
      </c>
      <c r="P319" s="123">
        <f t="shared" si="14"/>
        <v>7564.8</v>
      </c>
      <c r="Q319" s="118" t="s">
        <v>37</v>
      </c>
      <c r="R319" s="117" t="s">
        <v>85</v>
      </c>
      <c r="S319" s="117" t="s">
        <v>86</v>
      </c>
    </row>
    <row r="320" spans="1:19" ht="18" customHeight="1">
      <c r="A320" s="117" t="s">
        <v>1837</v>
      </c>
      <c r="B320" s="118" t="s">
        <v>1830</v>
      </c>
      <c r="C320" s="118" t="s">
        <v>1838</v>
      </c>
      <c r="D320" s="13" t="s">
        <v>81</v>
      </c>
      <c r="E320" s="118" t="s">
        <v>1839</v>
      </c>
      <c r="F320" s="118" t="s">
        <v>1840</v>
      </c>
      <c r="G320" s="118" t="s">
        <v>1841</v>
      </c>
      <c r="H320" s="118" t="s">
        <v>1842</v>
      </c>
      <c r="I320" s="118" t="s">
        <v>1843</v>
      </c>
      <c r="J320" s="119">
        <v>155</v>
      </c>
      <c r="K320" s="120">
        <f t="shared" si="12"/>
        <v>3.1</v>
      </c>
      <c r="L320" s="120">
        <v>50</v>
      </c>
      <c r="M320" s="120">
        <v>4.5</v>
      </c>
      <c r="N320" s="121">
        <f t="shared" si="13"/>
        <v>34.444444444444443</v>
      </c>
      <c r="O320" s="122">
        <v>94.56</v>
      </c>
      <c r="P320" s="123">
        <f t="shared" si="14"/>
        <v>3257.0666666666666</v>
      </c>
      <c r="Q320" s="118" t="s">
        <v>27</v>
      </c>
      <c r="R320" s="117" t="s">
        <v>85</v>
      </c>
      <c r="S320" s="117" t="s">
        <v>86</v>
      </c>
    </row>
    <row r="321" spans="1:19" ht="18" customHeight="1">
      <c r="A321" s="117" t="s">
        <v>1844</v>
      </c>
      <c r="B321" s="118" t="s">
        <v>1830</v>
      </c>
      <c r="C321" s="118" t="s">
        <v>1845</v>
      </c>
      <c r="D321" s="13" t="s">
        <v>81</v>
      </c>
      <c r="E321" s="118" t="s">
        <v>1846</v>
      </c>
      <c r="F321" s="118" t="s">
        <v>1847</v>
      </c>
      <c r="G321" s="118" t="s">
        <v>1848</v>
      </c>
      <c r="H321" s="118" t="s">
        <v>1849</v>
      </c>
      <c r="I321" s="118" t="s">
        <v>1850</v>
      </c>
      <c r="J321" s="119">
        <v>115</v>
      </c>
      <c r="K321" s="120">
        <f t="shared" si="12"/>
        <v>2.2999999999999998</v>
      </c>
      <c r="L321" s="120">
        <v>50</v>
      </c>
      <c r="M321" s="120">
        <v>4.5</v>
      </c>
      <c r="N321" s="121">
        <f t="shared" si="13"/>
        <v>25.555555555555557</v>
      </c>
      <c r="O321" s="122">
        <v>94.56</v>
      </c>
      <c r="P321" s="123">
        <f t="shared" si="14"/>
        <v>2416.5333333333338</v>
      </c>
      <c r="Q321" s="118" t="s">
        <v>37</v>
      </c>
      <c r="R321" s="117" t="s">
        <v>85</v>
      </c>
      <c r="S321" s="117" t="s">
        <v>86</v>
      </c>
    </row>
    <row r="322" spans="1:19" ht="18" customHeight="1">
      <c r="A322" s="117" t="s">
        <v>1851</v>
      </c>
      <c r="B322" s="118" t="s">
        <v>1830</v>
      </c>
      <c r="C322" s="118" t="s">
        <v>1852</v>
      </c>
      <c r="D322" s="13" t="s">
        <v>81</v>
      </c>
      <c r="E322" s="118" t="s">
        <v>1832</v>
      </c>
      <c r="F322" s="118" t="s">
        <v>1846</v>
      </c>
      <c r="G322" s="118" t="s">
        <v>1853</v>
      </c>
      <c r="H322" s="118" t="s">
        <v>1854</v>
      </c>
      <c r="I322" s="118" t="s">
        <v>1855</v>
      </c>
      <c r="J322" s="119">
        <v>330</v>
      </c>
      <c r="K322" s="120">
        <f t="shared" ref="K322:K385" si="15">J322/L322</f>
        <v>6.6</v>
      </c>
      <c r="L322" s="120">
        <v>50</v>
      </c>
      <c r="M322" s="120">
        <v>4.5</v>
      </c>
      <c r="N322" s="121">
        <f t="shared" ref="N322:N385" si="16">J322/M322</f>
        <v>73.333333333333329</v>
      </c>
      <c r="O322" s="122">
        <v>94.56</v>
      </c>
      <c r="P322" s="123">
        <f t="shared" ref="P322:P385" si="17">N322*O322</f>
        <v>6934.4</v>
      </c>
      <c r="Q322" s="118" t="s">
        <v>37</v>
      </c>
      <c r="R322" s="117" t="s">
        <v>85</v>
      </c>
      <c r="S322" s="117" t="s">
        <v>86</v>
      </c>
    </row>
    <row r="323" spans="1:19" ht="18" customHeight="1">
      <c r="A323" s="117" t="s">
        <v>1856</v>
      </c>
      <c r="B323" s="118" t="s">
        <v>1830</v>
      </c>
      <c r="C323" s="118" t="s">
        <v>1857</v>
      </c>
      <c r="D323" s="13" t="s">
        <v>81</v>
      </c>
      <c r="E323" s="118" t="s">
        <v>1858</v>
      </c>
      <c r="F323" s="118" t="s">
        <v>1846</v>
      </c>
      <c r="G323" s="118" t="s">
        <v>1859</v>
      </c>
      <c r="H323" s="118" t="s">
        <v>1860</v>
      </c>
      <c r="I323" s="118" t="s">
        <v>1861</v>
      </c>
      <c r="J323" s="119">
        <v>130</v>
      </c>
      <c r="K323" s="120">
        <f t="shared" si="15"/>
        <v>2.6</v>
      </c>
      <c r="L323" s="120">
        <v>50</v>
      </c>
      <c r="M323" s="120">
        <v>4.5</v>
      </c>
      <c r="N323" s="121">
        <f t="shared" si="16"/>
        <v>28.888888888888889</v>
      </c>
      <c r="O323" s="122">
        <v>94.56</v>
      </c>
      <c r="P323" s="123">
        <f t="shared" si="17"/>
        <v>2731.7333333333336</v>
      </c>
      <c r="Q323" s="118" t="s">
        <v>37</v>
      </c>
      <c r="R323" s="117" t="s">
        <v>85</v>
      </c>
      <c r="S323" s="117" t="s">
        <v>86</v>
      </c>
    </row>
    <row r="324" spans="1:19" ht="18" customHeight="1">
      <c r="A324" s="117" t="s">
        <v>1862</v>
      </c>
      <c r="B324" s="118" t="s">
        <v>1830</v>
      </c>
      <c r="C324" s="118" t="s">
        <v>1863</v>
      </c>
      <c r="D324" s="13" t="s">
        <v>81</v>
      </c>
      <c r="E324" s="118" t="s">
        <v>1864</v>
      </c>
      <c r="F324" s="118" t="s">
        <v>1832</v>
      </c>
      <c r="G324" s="118" t="s">
        <v>1865</v>
      </c>
      <c r="H324" s="118" t="s">
        <v>1866</v>
      </c>
      <c r="I324" s="118" t="s">
        <v>1867</v>
      </c>
      <c r="J324" s="119">
        <v>260</v>
      </c>
      <c r="K324" s="120">
        <f t="shared" si="15"/>
        <v>5.2</v>
      </c>
      <c r="L324" s="120">
        <v>50</v>
      </c>
      <c r="M324" s="120">
        <v>4.5</v>
      </c>
      <c r="N324" s="121">
        <f t="shared" si="16"/>
        <v>57.777777777777779</v>
      </c>
      <c r="O324" s="122">
        <v>94.56</v>
      </c>
      <c r="P324" s="123">
        <f t="shared" si="17"/>
        <v>5463.4666666666672</v>
      </c>
      <c r="Q324" s="118" t="s">
        <v>37</v>
      </c>
      <c r="R324" s="117" t="s">
        <v>85</v>
      </c>
      <c r="S324" s="117" t="s">
        <v>86</v>
      </c>
    </row>
    <row r="325" spans="1:19" ht="18" customHeight="1">
      <c r="A325" s="117" t="s">
        <v>1868</v>
      </c>
      <c r="B325" s="118" t="s">
        <v>1830</v>
      </c>
      <c r="C325" s="118" t="s">
        <v>1869</v>
      </c>
      <c r="D325" s="12" t="s">
        <v>67</v>
      </c>
      <c r="E325" s="118" t="s">
        <v>1870</v>
      </c>
      <c r="F325" s="118" t="s">
        <v>1871</v>
      </c>
      <c r="G325" s="118" t="s">
        <v>1872</v>
      </c>
      <c r="H325" s="118" t="s">
        <v>1873</v>
      </c>
      <c r="I325" s="118" t="s">
        <v>1874</v>
      </c>
      <c r="J325" s="119">
        <v>20</v>
      </c>
      <c r="K325" s="120">
        <f t="shared" si="15"/>
        <v>0.5</v>
      </c>
      <c r="L325" s="120">
        <v>40</v>
      </c>
      <c r="M325" s="120">
        <v>3.5</v>
      </c>
      <c r="N325" s="121">
        <f t="shared" si="16"/>
        <v>5.7142857142857144</v>
      </c>
      <c r="O325" s="122">
        <v>94.56</v>
      </c>
      <c r="P325" s="123">
        <f t="shared" si="17"/>
        <v>540.34285714285716</v>
      </c>
      <c r="Q325" s="118" t="s">
        <v>37</v>
      </c>
      <c r="R325" s="117" t="s">
        <v>28</v>
      </c>
      <c r="S325" s="117" t="s">
        <v>1875</v>
      </c>
    </row>
    <row r="326" spans="1:19" ht="18" customHeight="1">
      <c r="A326" s="117" t="s">
        <v>1876</v>
      </c>
      <c r="B326" s="118" t="s">
        <v>1830</v>
      </c>
      <c r="C326" s="118" t="s">
        <v>1877</v>
      </c>
      <c r="D326" s="12" t="s">
        <v>67</v>
      </c>
      <c r="E326" s="118" t="s">
        <v>1878</v>
      </c>
      <c r="F326" s="118" t="s">
        <v>1879</v>
      </c>
      <c r="G326" s="118" t="s">
        <v>1880</v>
      </c>
      <c r="H326" s="118" t="s">
        <v>1881</v>
      </c>
      <c r="I326" s="118" t="s">
        <v>1882</v>
      </c>
      <c r="J326" s="119">
        <v>90</v>
      </c>
      <c r="K326" s="120">
        <f t="shared" si="15"/>
        <v>2.25</v>
      </c>
      <c r="L326" s="120">
        <v>40</v>
      </c>
      <c r="M326" s="120">
        <v>3.5</v>
      </c>
      <c r="N326" s="121">
        <f t="shared" si="16"/>
        <v>25.714285714285715</v>
      </c>
      <c r="O326" s="122">
        <v>94.56</v>
      </c>
      <c r="P326" s="123">
        <f t="shared" si="17"/>
        <v>2431.5428571428574</v>
      </c>
      <c r="Q326" s="118" t="s">
        <v>37</v>
      </c>
      <c r="R326" s="117" t="s">
        <v>28</v>
      </c>
      <c r="S326" s="117" t="s">
        <v>1875</v>
      </c>
    </row>
    <row r="327" spans="1:19" ht="18" customHeight="1">
      <c r="A327" s="117" t="s">
        <v>1883</v>
      </c>
      <c r="B327" s="118" t="s">
        <v>1830</v>
      </c>
      <c r="C327" s="118" t="s">
        <v>1884</v>
      </c>
      <c r="D327" s="4" t="s">
        <v>22</v>
      </c>
      <c r="E327" s="118" t="s">
        <v>1846</v>
      </c>
      <c r="F327" s="118" t="s">
        <v>1858</v>
      </c>
      <c r="G327" s="118" t="s">
        <v>1885</v>
      </c>
      <c r="H327" s="118" t="s">
        <v>1886</v>
      </c>
      <c r="I327" s="118" t="s">
        <v>1850</v>
      </c>
      <c r="J327" s="119">
        <v>130</v>
      </c>
      <c r="K327" s="120">
        <f t="shared" si="15"/>
        <v>2.8888888888888888</v>
      </c>
      <c r="L327" s="120">
        <v>45</v>
      </c>
      <c r="M327" s="120">
        <v>4</v>
      </c>
      <c r="N327" s="121">
        <f t="shared" si="16"/>
        <v>32.5</v>
      </c>
      <c r="O327" s="122">
        <v>94.56</v>
      </c>
      <c r="P327" s="123">
        <f t="shared" si="17"/>
        <v>3073.2000000000003</v>
      </c>
      <c r="Q327" s="118" t="s">
        <v>27</v>
      </c>
      <c r="R327" s="117" t="s">
        <v>28</v>
      </c>
      <c r="S327" s="117" t="s">
        <v>1875</v>
      </c>
    </row>
    <row r="328" spans="1:19" ht="18" customHeight="1">
      <c r="A328" s="117" t="s">
        <v>1887</v>
      </c>
      <c r="B328" s="118" t="s">
        <v>1830</v>
      </c>
      <c r="C328" s="118" t="s">
        <v>1888</v>
      </c>
      <c r="D328" s="4" t="s">
        <v>22</v>
      </c>
      <c r="E328" s="118" t="s">
        <v>1889</v>
      </c>
      <c r="F328" s="118" t="s">
        <v>1890</v>
      </c>
      <c r="G328" s="118" t="s">
        <v>1891</v>
      </c>
      <c r="H328" s="118" t="s">
        <v>1889</v>
      </c>
      <c r="I328" s="118" t="s">
        <v>1892</v>
      </c>
      <c r="J328" s="119">
        <v>25</v>
      </c>
      <c r="K328" s="120">
        <f t="shared" si="15"/>
        <v>0.55555555555555558</v>
      </c>
      <c r="L328" s="120">
        <v>45</v>
      </c>
      <c r="M328" s="120">
        <v>4</v>
      </c>
      <c r="N328" s="121">
        <f t="shared" si="16"/>
        <v>6.25</v>
      </c>
      <c r="O328" s="122">
        <v>94.56</v>
      </c>
      <c r="P328" s="123">
        <f t="shared" si="17"/>
        <v>591</v>
      </c>
      <c r="Q328" s="118" t="s">
        <v>27</v>
      </c>
      <c r="R328" s="117" t="s">
        <v>28</v>
      </c>
      <c r="S328" s="117" t="s">
        <v>1875</v>
      </c>
    </row>
    <row r="329" spans="1:19" ht="18" customHeight="1">
      <c r="A329" s="117" t="s">
        <v>1893</v>
      </c>
      <c r="B329" s="118" t="s">
        <v>1830</v>
      </c>
      <c r="C329" s="118" t="s">
        <v>1894</v>
      </c>
      <c r="D329" s="10" t="s">
        <v>45</v>
      </c>
      <c r="E329" s="118" t="s">
        <v>1895</v>
      </c>
      <c r="F329" s="118" t="s">
        <v>1896</v>
      </c>
      <c r="G329" s="118" t="s">
        <v>1832</v>
      </c>
      <c r="H329" s="118" t="s">
        <v>1897</v>
      </c>
      <c r="I329" s="118" t="s">
        <v>1898</v>
      </c>
      <c r="J329" s="119">
        <v>25</v>
      </c>
      <c r="K329" s="120">
        <f t="shared" si="15"/>
        <v>1.25</v>
      </c>
      <c r="L329" s="120">
        <v>20</v>
      </c>
      <c r="M329" s="120">
        <v>3.5</v>
      </c>
      <c r="N329" s="121">
        <f t="shared" si="16"/>
        <v>7.1428571428571432</v>
      </c>
      <c r="O329" s="122">
        <v>94.56</v>
      </c>
      <c r="P329" s="123">
        <f t="shared" si="17"/>
        <v>675.42857142857144</v>
      </c>
      <c r="Q329" s="118" t="s">
        <v>37</v>
      </c>
      <c r="R329" s="117" t="s">
        <v>28</v>
      </c>
      <c r="S329" s="117" t="s">
        <v>1875</v>
      </c>
    </row>
    <row r="330" spans="1:19" ht="18" customHeight="1">
      <c r="A330" s="117" t="s">
        <v>1899</v>
      </c>
      <c r="B330" s="118" t="s">
        <v>1830</v>
      </c>
      <c r="C330" s="118" t="s">
        <v>1900</v>
      </c>
      <c r="D330" s="10" t="s">
        <v>45</v>
      </c>
      <c r="E330" s="118" t="s">
        <v>1901</v>
      </c>
      <c r="F330" s="118" t="s">
        <v>1902</v>
      </c>
      <c r="G330" s="118" t="s">
        <v>1878</v>
      </c>
      <c r="H330" s="118" t="s">
        <v>1878</v>
      </c>
      <c r="I330" s="118" t="s">
        <v>1903</v>
      </c>
      <c r="J330" s="119">
        <v>12</v>
      </c>
      <c r="K330" s="120">
        <f t="shared" si="15"/>
        <v>0.6</v>
      </c>
      <c r="L330" s="120">
        <v>20</v>
      </c>
      <c r="M330" s="120">
        <v>3.5</v>
      </c>
      <c r="N330" s="121">
        <f t="shared" si="16"/>
        <v>3.4285714285714284</v>
      </c>
      <c r="O330" s="122">
        <v>94.56</v>
      </c>
      <c r="P330" s="123">
        <f t="shared" si="17"/>
        <v>324.20571428571429</v>
      </c>
      <c r="Q330" s="118" t="s">
        <v>27</v>
      </c>
      <c r="R330" s="117" t="s">
        <v>28</v>
      </c>
      <c r="S330" s="117" t="s">
        <v>1875</v>
      </c>
    </row>
    <row r="331" spans="1:19" ht="18" customHeight="1">
      <c r="A331" s="117" t="s">
        <v>1904</v>
      </c>
      <c r="B331" s="118" t="s">
        <v>1830</v>
      </c>
      <c r="C331" s="118" t="s">
        <v>1905</v>
      </c>
      <c r="D331" s="10" t="s">
        <v>45</v>
      </c>
      <c r="E331" s="118" t="s">
        <v>1906</v>
      </c>
      <c r="F331" s="118" t="s">
        <v>1907</v>
      </c>
      <c r="G331" s="118" t="s">
        <v>1858</v>
      </c>
      <c r="H331" s="118" t="s">
        <v>1908</v>
      </c>
      <c r="I331" s="118" t="s">
        <v>1909</v>
      </c>
      <c r="J331" s="119">
        <v>15</v>
      </c>
      <c r="K331" s="120">
        <f t="shared" si="15"/>
        <v>0.75</v>
      </c>
      <c r="L331" s="120">
        <v>20</v>
      </c>
      <c r="M331" s="120">
        <v>3.5</v>
      </c>
      <c r="N331" s="121">
        <f t="shared" si="16"/>
        <v>4.2857142857142856</v>
      </c>
      <c r="O331" s="122">
        <v>94.56</v>
      </c>
      <c r="P331" s="123">
        <f t="shared" si="17"/>
        <v>405.25714285714287</v>
      </c>
      <c r="Q331" s="118" t="s">
        <v>37</v>
      </c>
      <c r="R331" s="117" t="s">
        <v>28</v>
      </c>
      <c r="S331" s="117" t="s">
        <v>1875</v>
      </c>
    </row>
    <row r="332" spans="1:19" ht="18" customHeight="1">
      <c r="A332" s="117" t="s">
        <v>1910</v>
      </c>
      <c r="B332" s="118" t="s">
        <v>1830</v>
      </c>
      <c r="C332" s="118" t="s">
        <v>1911</v>
      </c>
      <c r="D332" s="12" t="s">
        <v>67</v>
      </c>
      <c r="E332" s="118" t="s">
        <v>1912</v>
      </c>
      <c r="F332" s="118" t="s">
        <v>1913</v>
      </c>
      <c r="G332" s="118" t="s">
        <v>1914</v>
      </c>
      <c r="H332" s="118" t="s">
        <v>1913</v>
      </c>
      <c r="I332" s="118" t="s">
        <v>1915</v>
      </c>
      <c r="J332" s="119">
        <v>30</v>
      </c>
      <c r="K332" s="120">
        <f t="shared" si="15"/>
        <v>0.75</v>
      </c>
      <c r="L332" s="120">
        <v>40</v>
      </c>
      <c r="M332" s="120">
        <v>3.5</v>
      </c>
      <c r="N332" s="121">
        <f t="shared" si="16"/>
        <v>8.5714285714285712</v>
      </c>
      <c r="O332" s="122">
        <v>94.56</v>
      </c>
      <c r="P332" s="123">
        <f t="shared" si="17"/>
        <v>810.51428571428573</v>
      </c>
      <c r="Q332" s="118" t="s">
        <v>37</v>
      </c>
      <c r="R332" s="117" t="s">
        <v>28</v>
      </c>
      <c r="S332" s="117" t="s">
        <v>1916</v>
      </c>
    </row>
    <row r="333" spans="1:19" ht="18" customHeight="1">
      <c r="A333" s="117" t="s">
        <v>1917</v>
      </c>
      <c r="B333" s="118" t="s">
        <v>1830</v>
      </c>
      <c r="C333" s="118" t="s">
        <v>1918</v>
      </c>
      <c r="D333" s="11" t="s">
        <v>59</v>
      </c>
      <c r="E333" s="118" t="s">
        <v>1919</v>
      </c>
      <c r="F333" s="118" t="s">
        <v>1920</v>
      </c>
      <c r="G333" s="118" t="s">
        <v>1921</v>
      </c>
      <c r="H333" s="118" t="s">
        <v>1922</v>
      </c>
      <c r="I333" s="118" t="s">
        <v>1923</v>
      </c>
      <c r="J333" s="119">
        <v>50</v>
      </c>
      <c r="K333" s="120">
        <f t="shared" si="15"/>
        <v>2</v>
      </c>
      <c r="L333" s="120">
        <v>25</v>
      </c>
      <c r="M333" s="120">
        <v>3</v>
      </c>
      <c r="N333" s="121">
        <f t="shared" si="16"/>
        <v>16.666666666666668</v>
      </c>
      <c r="O333" s="122">
        <v>94.56</v>
      </c>
      <c r="P333" s="123">
        <f t="shared" si="17"/>
        <v>1576.0000000000002</v>
      </c>
      <c r="Q333" s="118" t="s">
        <v>64</v>
      </c>
      <c r="R333" s="117" t="s">
        <v>28</v>
      </c>
      <c r="S333" s="117" t="s">
        <v>524</v>
      </c>
    </row>
    <row r="334" spans="1:19" ht="18" customHeight="1">
      <c r="A334" s="117" t="s">
        <v>1924</v>
      </c>
      <c r="B334" s="118" t="s">
        <v>1830</v>
      </c>
      <c r="C334" s="118" t="s">
        <v>1925</v>
      </c>
      <c r="D334" s="11" t="s">
        <v>59</v>
      </c>
      <c r="E334" s="118" t="s">
        <v>1889</v>
      </c>
      <c r="F334" s="118" t="s">
        <v>1926</v>
      </c>
      <c r="G334" s="118" t="s">
        <v>1927</v>
      </c>
      <c r="H334" s="118" t="s">
        <v>1927</v>
      </c>
      <c r="I334" s="118" t="s">
        <v>1928</v>
      </c>
      <c r="J334" s="119">
        <v>95</v>
      </c>
      <c r="K334" s="120">
        <f t="shared" si="15"/>
        <v>3.8</v>
      </c>
      <c r="L334" s="120">
        <v>25</v>
      </c>
      <c r="M334" s="120">
        <v>3</v>
      </c>
      <c r="N334" s="121">
        <f t="shared" si="16"/>
        <v>31.666666666666668</v>
      </c>
      <c r="O334" s="122">
        <v>94.56</v>
      </c>
      <c r="P334" s="123">
        <f t="shared" si="17"/>
        <v>2994.4</v>
      </c>
      <c r="Q334" s="118" t="s">
        <v>64</v>
      </c>
      <c r="R334" s="117" t="s">
        <v>28</v>
      </c>
      <c r="S334" s="117" t="s">
        <v>524</v>
      </c>
    </row>
    <row r="335" spans="1:19" ht="18" customHeight="1">
      <c r="A335" s="117" t="s">
        <v>1929</v>
      </c>
      <c r="B335" s="118" t="s">
        <v>1830</v>
      </c>
      <c r="C335" s="118" t="s">
        <v>1930</v>
      </c>
      <c r="D335" s="11" t="s">
        <v>59</v>
      </c>
      <c r="E335" s="118" t="s">
        <v>1931</v>
      </c>
      <c r="F335" s="118" t="s">
        <v>1932</v>
      </c>
      <c r="G335" s="118" t="s">
        <v>1933</v>
      </c>
      <c r="H335" s="118" t="s">
        <v>1931</v>
      </c>
      <c r="I335" s="118" t="s">
        <v>1934</v>
      </c>
      <c r="J335" s="119">
        <v>55</v>
      </c>
      <c r="K335" s="120">
        <f t="shared" si="15"/>
        <v>2.2000000000000002</v>
      </c>
      <c r="L335" s="120">
        <v>25</v>
      </c>
      <c r="M335" s="120">
        <v>3</v>
      </c>
      <c r="N335" s="121">
        <f t="shared" si="16"/>
        <v>18.333333333333332</v>
      </c>
      <c r="O335" s="122">
        <v>94.56</v>
      </c>
      <c r="P335" s="123">
        <f t="shared" si="17"/>
        <v>1733.6</v>
      </c>
      <c r="Q335" s="118" t="s">
        <v>64</v>
      </c>
      <c r="R335" s="117" t="s">
        <v>28</v>
      </c>
      <c r="S335" s="117" t="s">
        <v>524</v>
      </c>
    </row>
    <row r="336" spans="1:19" ht="18" customHeight="1">
      <c r="A336" s="117" t="s">
        <v>1935</v>
      </c>
      <c r="B336" s="118" t="s">
        <v>1830</v>
      </c>
      <c r="C336" s="118" t="s">
        <v>1936</v>
      </c>
      <c r="D336" s="4" t="s">
        <v>22</v>
      </c>
      <c r="E336" s="118" t="s">
        <v>1937</v>
      </c>
      <c r="F336" s="118" t="s">
        <v>1832</v>
      </c>
      <c r="G336" s="118" t="s">
        <v>1938</v>
      </c>
      <c r="H336" s="118" t="s">
        <v>1939</v>
      </c>
      <c r="I336" s="118" t="s">
        <v>1940</v>
      </c>
      <c r="J336" s="119">
        <v>65</v>
      </c>
      <c r="K336" s="120">
        <f t="shared" si="15"/>
        <v>1.4444444444444444</v>
      </c>
      <c r="L336" s="120">
        <v>45</v>
      </c>
      <c r="M336" s="120">
        <v>4</v>
      </c>
      <c r="N336" s="121">
        <f t="shared" si="16"/>
        <v>16.25</v>
      </c>
      <c r="O336" s="122">
        <v>94.56</v>
      </c>
      <c r="P336" s="123">
        <f t="shared" si="17"/>
        <v>1536.6000000000001</v>
      </c>
      <c r="Q336" s="118" t="s">
        <v>37</v>
      </c>
      <c r="R336" s="117" t="s">
        <v>28</v>
      </c>
      <c r="S336" s="117" t="s">
        <v>125</v>
      </c>
    </row>
    <row r="337" spans="1:19" ht="18" customHeight="1">
      <c r="A337" s="117" t="s">
        <v>1941</v>
      </c>
      <c r="B337" s="118" t="s">
        <v>1830</v>
      </c>
      <c r="C337" s="118" t="s">
        <v>1942</v>
      </c>
      <c r="D337" s="11" t="s">
        <v>59</v>
      </c>
      <c r="E337" s="118" t="s">
        <v>1864</v>
      </c>
      <c r="F337" s="118" t="s">
        <v>1943</v>
      </c>
      <c r="G337" s="118" t="s">
        <v>1944</v>
      </c>
      <c r="H337" s="118" t="s">
        <v>1945</v>
      </c>
      <c r="I337" s="118" t="s">
        <v>1946</v>
      </c>
      <c r="J337" s="119">
        <v>65</v>
      </c>
      <c r="K337" s="120">
        <f t="shared" si="15"/>
        <v>2.6</v>
      </c>
      <c r="L337" s="120">
        <v>25</v>
      </c>
      <c r="M337" s="120">
        <v>3</v>
      </c>
      <c r="N337" s="121">
        <f t="shared" si="16"/>
        <v>21.666666666666668</v>
      </c>
      <c r="O337" s="122">
        <v>94.56</v>
      </c>
      <c r="P337" s="123">
        <f t="shared" si="17"/>
        <v>2048.8000000000002</v>
      </c>
      <c r="Q337" s="118" t="s">
        <v>27</v>
      </c>
      <c r="R337" s="117" t="s">
        <v>28</v>
      </c>
      <c r="S337" s="117" t="s">
        <v>138</v>
      </c>
    </row>
    <row r="338" spans="1:19" ht="18" customHeight="1">
      <c r="A338" s="124" t="s">
        <v>1947</v>
      </c>
      <c r="B338" s="125" t="s">
        <v>1948</v>
      </c>
      <c r="C338" s="125" t="s">
        <v>1949</v>
      </c>
      <c r="D338" s="15" t="s">
        <v>519</v>
      </c>
      <c r="E338" s="125" t="s">
        <v>1950</v>
      </c>
      <c r="F338" s="125" t="s">
        <v>1951</v>
      </c>
      <c r="G338" s="125" t="s">
        <v>1952</v>
      </c>
      <c r="H338" s="125" t="s">
        <v>1952</v>
      </c>
      <c r="I338" s="125" t="s">
        <v>1953</v>
      </c>
      <c r="J338" s="126">
        <v>275</v>
      </c>
      <c r="K338" s="127">
        <f t="shared" si="15"/>
        <v>3.4375</v>
      </c>
      <c r="L338" s="127">
        <v>80</v>
      </c>
      <c r="M338" s="127">
        <v>5</v>
      </c>
      <c r="N338" s="128">
        <f t="shared" si="16"/>
        <v>55</v>
      </c>
      <c r="O338" s="129">
        <v>94.56</v>
      </c>
      <c r="P338" s="130">
        <f t="shared" si="17"/>
        <v>5200.8</v>
      </c>
      <c r="Q338" s="125" t="s">
        <v>37</v>
      </c>
      <c r="R338" s="124" t="s">
        <v>85</v>
      </c>
      <c r="S338" s="124" t="s">
        <v>669</v>
      </c>
    </row>
    <row r="339" spans="1:19" ht="18" customHeight="1">
      <c r="A339" s="124" t="s">
        <v>1954</v>
      </c>
      <c r="B339" s="125" t="s">
        <v>1948</v>
      </c>
      <c r="C339" s="125" t="s">
        <v>1955</v>
      </c>
      <c r="D339" s="13" t="s">
        <v>81</v>
      </c>
      <c r="E339" s="125" t="s">
        <v>770</v>
      </c>
      <c r="F339" s="125" t="s">
        <v>1951</v>
      </c>
      <c r="G339" s="125" t="s">
        <v>1952</v>
      </c>
      <c r="H339" s="125" t="s">
        <v>1952</v>
      </c>
      <c r="I339" s="125" t="s">
        <v>1956</v>
      </c>
      <c r="J339" s="126">
        <v>355</v>
      </c>
      <c r="K339" s="127">
        <f t="shared" si="15"/>
        <v>7.1</v>
      </c>
      <c r="L339" s="127">
        <v>50</v>
      </c>
      <c r="M339" s="127">
        <v>4.5</v>
      </c>
      <c r="N339" s="128">
        <f t="shared" si="16"/>
        <v>78.888888888888886</v>
      </c>
      <c r="O339" s="129">
        <v>94.56</v>
      </c>
      <c r="P339" s="130">
        <f t="shared" si="17"/>
        <v>7459.7333333333336</v>
      </c>
      <c r="Q339" s="125" t="s">
        <v>37</v>
      </c>
      <c r="R339" s="124" t="s">
        <v>85</v>
      </c>
      <c r="S339" s="124" t="s">
        <v>86</v>
      </c>
    </row>
    <row r="340" spans="1:19" ht="18" customHeight="1">
      <c r="A340" s="124" t="s">
        <v>1957</v>
      </c>
      <c r="B340" s="125" t="s">
        <v>1948</v>
      </c>
      <c r="C340" s="125" t="s">
        <v>1958</v>
      </c>
      <c r="D340" s="13" t="s">
        <v>81</v>
      </c>
      <c r="E340" s="125" t="s">
        <v>914</v>
      </c>
      <c r="F340" s="125" t="s">
        <v>1959</v>
      </c>
      <c r="G340" s="125" t="s">
        <v>1960</v>
      </c>
      <c r="H340" s="125" t="s">
        <v>1961</v>
      </c>
      <c r="I340" s="125" t="s">
        <v>1962</v>
      </c>
      <c r="J340" s="126">
        <v>30</v>
      </c>
      <c r="K340" s="127">
        <f t="shared" si="15"/>
        <v>0.6</v>
      </c>
      <c r="L340" s="127">
        <v>50</v>
      </c>
      <c r="M340" s="127">
        <v>4.5</v>
      </c>
      <c r="N340" s="128">
        <f t="shared" si="16"/>
        <v>6.666666666666667</v>
      </c>
      <c r="O340" s="129">
        <v>94.56</v>
      </c>
      <c r="P340" s="130">
        <f t="shared" si="17"/>
        <v>630.40000000000009</v>
      </c>
      <c r="Q340" s="125" t="s">
        <v>37</v>
      </c>
      <c r="R340" s="124" t="s">
        <v>85</v>
      </c>
      <c r="S340" s="124" t="s">
        <v>86</v>
      </c>
    </row>
    <row r="341" spans="1:19" ht="18" customHeight="1">
      <c r="A341" s="124" t="s">
        <v>1963</v>
      </c>
      <c r="B341" s="125" t="s">
        <v>1948</v>
      </c>
      <c r="C341" s="125" t="s">
        <v>1964</v>
      </c>
      <c r="D341" s="13" t="s">
        <v>81</v>
      </c>
      <c r="E341" s="125" t="s">
        <v>1965</v>
      </c>
      <c r="F341" s="125" t="s">
        <v>1966</v>
      </c>
      <c r="G341" s="125" t="s">
        <v>1967</v>
      </c>
      <c r="H341" s="125" t="s">
        <v>1967</v>
      </c>
      <c r="I341" s="125" t="s">
        <v>1968</v>
      </c>
      <c r="J341" s="126">
        <v>190</v>
      </c>
      <c r="K341" s="127">
        <f t="shared" si="15"/>
        <v>3.8</v>
      </c>
      <c r="L341" s="127">
        <v>50</v>
      </c>
      <c r="M341" s="127">
        <v>4.5</v>
      </c>
      <c r="N341" s="128">
        <f t="shared" si="16"/>
        <v>42.222222222222221</v>
      </c>
      <c r="O341" s="129">
        <v>94.56</v>
      </c>
      <c r="P341" s="130">
        <f t="shared" si="17"/>
        <v>3992.5333333333333</v>
      </c>
      <c r="Q341" s="125" t="s">
        <v>37</v>
      </c>
      <c r="R341" s="124" t="s">
        <v>85</v>
      </c>
      <c r="S341" s="124" t="s">
        <v>86</v>
      </c>
    </row>
    <row r="342" spans="1:19" ht="18" customHeight="1">
      <c r="A342" s="124" t="s">
        <v>1969</v>
      </c>
      <c r="B342" s="125" t="s">
        <v>1948</v>
      </c>
      <c r="C342" s="125" t="s">
        <v>1970</v>
      </c>
      <c r="D342" s="13" t="s">
        <v>81</v>
      </c>
      <c r="E342" s="125" t="s">
        <v>1950</v>
      </c>
      <c r="F342" s="125" t="s">
        <v>1971</v>
      </c>
      <c r="G342" s="125" t="s">
        <v>1972</v>
      </c>
      <c r="H342" s="125" t="s">
        <v>1973</v>
      </c>
      <c r="I342" s="125" t="s">
        <v>1974</v>
      </c>
      <c r="J342" s="126">
        <v>310</v>
      </c>
      <c r="K342" s="127">
        <f t="shared" si="15"/>
        <v>6.2</v>
      </c>
      <c r="L342" s="127">
        <v>50</v>
      </c>
      <c r="M342" s="127">
        <v>4.5</v>
      </c>
      <c r="N342" s="128">
        <f t="shared" si="16"/>
        <v>68.888888888888886</v>
      </c>
      <c r="O342" s="129">
        <v>94.56</v>
      </c>
      <c r="P342" s="130">
        <f t="shared" si="17"/>
        <v>6514.1333333333332</v>
      </c>
      <c r="Q342" s="125" t="s">
        <v>37</v>
      </c>
      <c r="R342" s="124" t="s">
        <v>85</v>
      </c>
      <c r="S342" s="124" t="s">
        <v>86</v>
      </c>
    </row>
    <row r="343" spans="1:19" ht="18" customHeight="1">
      <c r="A343" s="124" t="s">
        <v>1975</v>
      </c>
      <c r="B343" s="125" t="s">
        <v>1948</v>
      </c>
      <c r="C343" s="125" t="s">
        <v>1976</v>
      </c>
      <c r="D343" s="13" t="s">
        <v>81</v>
      </c>
      <c r="E343" s="125" t="s">
        <v>1971</v>
      </c>
      <c r="F343" s="125" t="s">
        <v>1977</v>
      </c>
      <c r="G343" s="125" t="s">
        <v>1978</v>
      </c>
      <c r="H343" s="125" t="s">
        <v>1971</v>
      </c>
      <c r="I343" s="125" t="s">
        <v>1979</v>
      </c>
      <c r="J343" s="126">
        <v>90</v>
      </c>
      <c r="K343" s="127">
        <f t="shared" si="15"/>
        <v>1.8</v>
      </c>
      <c r="L343" s="127">
        <v>50</v>
      </c>
      <c r="M343" s="127">
        <v>4.5</v>
      </c>
      <c r="N343" s="128">
        <f t="shared" si="16"/>
        <v>20</v>
      </c>
      <c r="O343" s="129">
        <v>94.56</v>
      </c>
      <c r="P343" s="130">
        <f t="shared" si="17"/>
        <v>1891.2</v>
      </c>
      <c r="Q343" s="125" t="s">
        <v>37</v>
      </c>
      <c r="R343" s="124" t="s">
        <v>85</v>
      </c>
      <c r="S343" s="124" t="s">
        <v>86</v>
      </c>
    </row>
    <row r="344" spans="1:19" ht="18" customHeight="1">
      <c r="A344" s="124" t="s">
        <v>1980</v>
      </c>
      <c r="B344" s="125" t="s">
        <v>1948</v>
      </c>
      <c r="C344" s="125" t="s">
        <v>1981</v>
      </c>
      <c r="D344" s="13" t="s">
        <v>81</v>
      </c>
      <c r="E344" s="125" t="s">
        <v>1982</v>
      </c>
      <c r="F344" s="125" t="s">
        <v>1951</v>
      </c>
      <c r="G344" s="125" t="s">
        <v>1983</v>
      </c>
      <c r="H344" s="125" t="s">
        <v>1983</v>
      </c>
      <c r="I344" s="125" t="s">
        <v>1984</v>
      </c>
      <c r="J344" s="126">
        <v>100</v>
      </c>
      <c r="K344" s="127">
        <f t="shared" si="15"/>
        <v>2</v>
      </c>
      <c r="L344" s="127">
        <v>50</v>
      </c>
      <c r="M344" s="127">
        <v>4.5</v>
      </c>
      <c r="N344" s="128">
        <f t="shared" si="16"/>
        <v>22.222222222222221</v>
      </c>
      <c r="O344" s="129">
        <v>94.56</v>
      </c>
      <c r="P344" s="130">
        <f t="shared" si="17"/>
        <v>2101.3333333333335</v>
      </c>
      <c r="Q344" s="125" t="s">
        <v>37</v>
      </c>
      <c r="R344" s="124" t="s">
        <v>85</v>
      </c>
      <c r="S344" s="124" t="s">
        <v>86</v>
      </c>
    </row>
    <row r="345" spans="1:19" ht="18" customHeight="1">
      <c r="A345" s="124" t="s">
        <v>1985</v>
      </c>
      <c r="B345" s="125" t="s">
        <v>1948</v>
      </c>
      <c r="C345" s="125" t="s">
        <v>1986</v>
      </c>
      <c r="D345" s="12" t="s">
        <v>67</v>
      </c>
      <c r="E345" s="125" t="s">
        <v>1982</v>
      </c>
      <c r="F345" s="125" t="s">
        <v>1987</v>
      </c>
      <c r="G345" s="125" t="s">
        <v>1988</v>
      </c>
      <c r="H345" s="125" t="s">
        <v>1988</v>
      </c>
      <c r="I345" s="125" t="s">
        <v>1989</v>
      </c>
      <c r="J345" s="126">
        <v>50</v>
      </c>
      <c r="K345" s="127">
        <f t="shared" si="15"/>
        <v>1.25</v>
      </c>
      <c r="L345" s="127">
        <v>40</v>
      </c>
      <c r="M345" s="127">
        <v>3.5</v>
      </c>
      <c r="N345" s="128">
        <f t="shared" si="16"/>
        <v>14.285714285714286</v>
      </c>
      <c r="O345" s="129">
        <v>94.56</v>
      </c>
      <c r="P345" s="130">
        <f t="shared" si="17"/>
        <v>1350.8571428571429</v>
      </c>
      <c r="Q345" s="125" t="s">
        <v>27</v>
      </c>
      <c r="R345" s="124" t="s">
        <v>28</v>
      </c>
      <c r="S345" s="124" t="s">
        <v>1916</v>
      </c>
    </row>
    <row r="346" spans="1:19" ht="18" customHeight="1">
      <c r="A346" s="124" t="s">
        <v>1990</v>
      </c>
      <c r="B346" s="125" t="s">
        <v>1948</v>
      </c>
      <c r="C346" s="125" t="s">
        <v>1991</v>
      </c>
      <c r="D346" s="12" t="s">
        <v>67</v>
      </c>
      <c r="E346" s="125" t="s">
        <v>1959</v>
      </c>
      <c r="F346" s="125" t="s">
        <v>1992</v>
      </c>
      <c r="G346" s="125" t="s">
        <v>1993</v>
      </c>
      <c r="H346" s="125" t="s">
        <v>1994</v>
      </c>
      <c r="I346" s="125" t="s">
        <v>1995</v>
      </c>
      <c r="J346" s="126">
        <v>35</v>
      </c>
      <c r="K346" s="127">
        <f t="shared" si="15"/>
        <v>0.875</v>
      </c>
      <c r="L346" s="127">
        <v>40</v>
      </c>
      <c r="M346" s="127">
        <v>3.5</v>
      </c>
      <c r="N346" s="128">
        <f t="shared" si="16"/>
        <v>10</v>
      </c>
      <c r="O346" s="129">
        <v>94.56</v>
      </c>
      <c r="P346" s="130">
        <f t="shared" si="17"/>
        <v>945.6</v>
      </c>
      <c r="Q346" s="125" t="s">
        <v>37</v>
      </c>
      <c r="R346" s="124" t="s">
        <v>28</v>
      </c>
      <c r="S346" s="124" t="s">
        <v>1916</v>
      </c>
    </row>
    <row r="347" spans="1:19" ht="18" customHeight="1">
      <c r="A347" s="124" t="s">
        <v>1996</v>
      </c>
      <c r="B347" s="125" t="s">
        <v>1948</v>
      </c>
      <c r="C347" s="125" t="s">
        <v>1997</v>
      </c>
      <c r="D347" s="4" t="s">
        <v>22</v>
      </c>
      <c r="E347" s="125" t="s">
        <v>1951</v>
      </c>
      <c r="F347" s="125" t="s">
        <v>1971</v>
      </c>
      <c r="G347" s="125" t="s">
        <v>1998</v>
      </c>
      <c r="H347" s="125" t="s">
        <v>1998</v>
      </c>
      <c r="I347" s="125" t="s">
        <v>1999</v>
      </c>
      <c r="J347" s="126">
        <v>125</v>
      </c>
      <c r="K347" s="127">
        <f t="shared" si="15"/>
        <v>2.7777777777777777</v>
      </c>
      <c r="L347" s="127">
        <v>45</v>
      </c>
      <c r="M347" s="127">
        <v>4</v>
      </c>
      <c r="N347" s="128">
        <f t="shared" si="16"/>
        <v>31.25</v>
      </c>
      <c r="O347" s="129">
        <v>94.56</v>
      </c>
      <c r="P347" s="130">
        <f t="shared" si="17"/>
        <v>2955</v>
      </c>
      <c r="Q347" s="125" t="s">
        <v>37</v>
      </c>
      <c r="R347" s="124" t="s">
        <v>28</v>
      </c>
      <c r="S347" s="124" t="s">
        <v>1916</v>
      </c>
    </row>
    <row r="348" spans="1:19" ht="18" customHeight="1">
      <c r="A348" s="124" t="s">
        <v>2000</v>
      </c>
      <c r="B348" s="125" t="s">
        <v>1948</v>
      </c>
      <c r="C348" s="125" t="s">
        <v>2001</v>
      </c>
      <c r="D348" s="4" t="s">
        <v>22</v>
      </c>
      <c r="E348" s="125" t="s">
        <v>1965</v>
      </c>
      <c r="F348" s="125" t="s">
        <v>2002</v>
      </c>
      <c r="G348" s="125" t="s">
        <v>2003</v>
      </c>
      <c r="H348" s="125" t="s">
        <v>2003</v>
      </c>
      <c r="I348" s="125" t="s">
        <v>2004</v>
      </c>
      <c r="J348" s="126">
        <v>35</v>
      </c>
      <c r="K348" s="127">
        <f t="shared" si="15"/>
        <v>0.77777777777777779</v>
      </c>
      <c r="L348" s="127">
        <v>45</v>
      </c>
      <c r="M348" s="127">
        <v>4</v>
      </c>
      <c r="N348" s="128">
        <f t="shared" si="16"/>
        <v>8.75</v>
      </c>
      <c r="O348" s="129">
        <v>94.56</v>
      </c>
      <c r="P348" s="130">
        <f t="shared" si="17"/>
        <v>827.4</v>
      </c>
      <c r="Q348" s="125" t="s">
        <v>37</v>
      </c>
      <c r="R348" s="124" t="s">
        <v>28</v>
      </c>
      <c r="S348" s="124" t="s">
        <v>1916</v>
      </c>
    </row>
    <row r="349" spans="1:19" ht="18" customHeight="1">
      <c r="A349" s="124" t="s">
        <v>2005</v>
      </c>
      <c r="B349" s="125" t="s">
        <v>1948</v>
      </c>
      <c r="C349" s="125" t="s">
        <v>2006</v>
      </c>
      <c r="D349" s="10" t="s">
        <v>45</v>
      </c>
      <c r="E349" s="125" t="s">
        <v>2007</v>
      </c>
      <c r="F349" s="125" t="s">
        <v>2008</v>
      </c>
      <c r="G349" s="125" t="s">
        <v>1951</v>
      </c>
      <c r="H349" s="125" t="s">
        <v>1951</v>
      </c>
      <c r="I349" s="125" t="s">
        <v>2009</v>
      </c>
      <c r="J349" s="126">
        <v>3</v>
      </c>
      <c r="K349" s="127">
        <f t="shared" si="15"/>
        <v>0.15</v>
      </c>
      <c r="L349" s="127">
        <v>20</v>
      </c>
      <c r="M349" s="127">
        <v>3.5</v>
      </c>
      <c r="N349" s="128">
        <f t="shared" si="16"/>
        <v>0.8571428571428571</v>
      </c>
      <c r="O349" s="129">
        <v>94.56</v>
      </c>
      <c r="P349" s="130">
        <f t="shared" si="17"/>
        <v>81.051428571428573</v>
      </c>
      <c r="Q349" s="125" t="s">
        <v>37</v>
      </c>
      <c r="R349" s="124" t="s">
        <v>28</v>
      </c>
      <c r="S349" s="124" t="s">
        <v>1916</v>
      </c>
    </row>
    <row r="350" spans="1:19" ht="18" customHeight="1">
      <c r="A350" s="124" t="s">
        <v>2010</v>
      </c>
      <c r="B350" s="125" t="s">
        <v>1948</v>
      </c>
      <c r="C350" s="125" t="s">
        <v>2011</v>
      </c>
      <c r="D350" s="10" t="s">
        <v>45</v>
      </c>
      <c r="E350" s="125" t="s">
        <v>2012</v>
      </c>
      <c r="F350" s="125" t="s">
        <v>2013</v>
      </c>
      <c r="G350" s="125" t="s">
        <v>2014</v>
      </c>
      <c r="H350" s="125" t="s">
        <v>2015</v>
      </c>
      <c r="I350" s="125" t="s">
        <v>2016</v>
      </c>
      <c r="J350" s="126">
        <v>15</v>
      </c>
      <c r="K350" s="127">
        <f t="shared" si="15"/>
        <v>0.75</v>
      </c>
      <c r="L350" s="127">
        <v>20</v>
      </c>
      <c r="M350" s="127">
        <v>3.5</v>
      </c>
      <c r="N350" s="128">
        <f t="shared" si="16"/>
        <v>4.2857142857142856</v>
      </c>
      <c r="O350" s="129">
        <v>94.56</v>
      </c>
      <c r="P350" s="130">
        <f t="shared" si="17"/>
        <v>405.25714285714287</v>
      </c>
      <c r="Q350" s="125" t="s">
        <v>37</v>
      </c>
      <c r="R350" s="124" t="s">
        <v>28</v>
      </c>
      <c r="S350" s="124" t="s">
        <v>1916</v>
      </c>
    </row>
    <row r="351" spans="1:19" ht="18" customHeight="1">
      <c r="A351" s="124" t="s">
        <v>2017</v>
      </c>
      <c r="B351" s="125" t="s">
        <v>1948</v>
      </c>
      <c r="C351" s="125" t="s">
        <v>2018</v>
      </c>
      <c r="D351" s="10" t="s">
        <v>45</v>
      </c>
      <c r="E351" s="125" t="s">
        <v>2019</v>
      </c>
      <c r="F351" s="125" t="s">
        <v>1956</v>
      </c>
      <c r="G351" s="125" t="s">
        <v>1965</v>
      </c>
      <c r="H351" s="125" t="s">
        <v>1965</v>
      </c>
      <c r="I351" s="125" t="s">
        <v>2020</v>
      </c>
      <c r="J351" s="126">
        <v>25</v>
      </c>
      <c r="K351" s="127">
        <f t="shared" si="15"/>
        <v>1.25</v>
      </c>
      <c r="L351" s="127">
        <v>20</v>
      </c>
      <c r="M351" s="127">
        <v>3.5</v>
      </c>
      <c r="N351" s="128">
        <f t="shared" si="16"/>
        <v>7.1428571428571432</v>
      </c>
      <c r="O351" s="129">
        <v>94.56</v>
      </c>
      <c r="P351" s="130">
        <f t="shared" si="17"/>
        <v>675.42857142857144</v>
      </c>
      <c r="Q351" s="125" t="s">
        <v>27</v>
      </c>
      <c r="R351" s="124" t="s">
        <v>28</v>
      </c>
      <c r="S351" s="124" t="s">
        <v>1916</v>
      </c>
    </row>
    <row r="352" spans="1:19" ht="18" customHeight="1">
      <c r="A352" s="124" t="s">
        <v>2021</v>
      </c>
      <c r="B352" s="125" t="s">
        <v>1948</v>
      </c>
      <c r="C352" s="125" t="s">
        <v>2022</v>
      </c>
      <c r="D352" s="11" t="s">
        <v>59</v>
      </c>
      <c r="E352" s="125" t="s">
        <v>2023</v>
      </c>
      <c r="F352" s="125" t="s">
        <v>2024</v>
      </c>
      <c r="G352" s="125" t="s">
        <v>2025</v>
      </c>
      <c r="H352" s="125" t="s">
        <v>2026</v>
      </c>
      <c r="I352" s="125" t="s">
        <v>2027</v>
      </c>
      <c r="J352" s="126">
        <v>45</v>
      </c>
      <c r="K352" s="127">
        <f t="shared" si="15"/>
        <v>1.8</v>
      </c>
      <c r="L352" s="127">
        <v>25</v>
      </c>
      <c r="M352" s="127">
        <v>3</v>
      </c>
      <c r="N352" s="128">
        <f t="shared" si="16"/>
        <v>15</v>
      </c>
      <c r="O352" s="129">
        <v>94.56</v>
      </c>
      <c r="P352" s="130">
        <f t="shared" si="17"/>
        <v>1418.4</v>
      </c>
      <c r="Q352" s="125" t="s">
        <v>27</v>
      </c>
      <c r="R352" s="124" t="s">
        <v>28</v>
      </c>
      <c r="S352" s="124" t="s">
        <v>524</v>
      </c>
    </row>
    <row r="353" spans="1:19" ht="18" customHeight="1">
      <c r="A353" s="124" t="s">
        <v>2028</v>
      </c>
      <c r="B353" s="125" t="s">
        <v>1948</v>
      </c>
      <c r="C353" s="125" t="s">
        <v>2029</v>
      </c>
      <c r="D353" s="11" t="s">
        <v>59</v>
      </c>
      <c r="E353" s="125" t="s">
        <v>2030</v>
      </c>
      <c r="F353" s="125" t="s">
        <v>2031</v>
      </c>
      <c r="G353" s="125" t="s">
        <v>2032</v>
      </c>
      <c r="H353" s="125" t="s">
        <v>2032</v>
      </c>
      <c r="I353" s="125" t="s">
        <v>1300</v>
      </c>
      <c r="J353" s="126">
        <v>70</v>
      </c>
      <c r="K353" s="127">
        <f t="shared" si="15"/>
        <v>2.8</v>
      </c>
      <c r="L353" s="127">
        <v>25</v>
      </c>
      <c r="M353" s="127">
        <v>3</v>
      </c>
      <c r="N353" s="128">
        <f t="shared" si="16"/>
        <v>23.333333333333332</v>
      </c>
      <c r="O353" s="129">
        <v>94.56</v>
      </c>
      <c r="P353" s="130">
        <f t="shared" si="17"/>
        <v>2206.4</v>
      </c>
      <c r="Q353" s="125" t="s">
        <v>27</v>
      </c>
      <c r="R353" s="124" t="s">
        <v>28</v>
      </c>
      <c r="S353" s="124" t="s">
        <v>524</v>
      </c>
    </row>
    <row r="354" spans="1:19" ht="18" customHeight="1">
      <c r="A354" s="124" t="s">
        <v>2033</v>
      </c>
      <c r="B354" s="125" t="s">
        <v>1948</v>
      </c>
      <c r="C354" s="125" t="s">
        <v>2034</v>
      </c>
      <c r="D354" s="11" t="s">
        <v>59</v>
      </c>
      <c r="E354" s="125" t="s">
        <v>2035</v>
      </c>
      <c r="F354" s="125" t="s">
        <v>2036</v>
      </c>
      <c r="G354" s="125" t="s">
        <v>2037</v>
      </c>
      <c r="H354" s="125" t="s">
        <v>2035</v>
      </c>
      <c r="I354" s="125" t="s">
        <v>2038</v>
      </c>
      <c r="J354" s="126">
        <v>30</v>
      </c>
      <c r="K354" s="127">
        <f t="shared" si="15"/>
        <v>1.2</v>
      </c>
      <c r="L354" s="127">
        <v>25</v>
      </c>
      <c r="M354" s="127">
        <v>3</v>
      </c>
      <c r="N354" s="128">
        <f t="shared" si="16"/>
        <v>10</v>
      </c>
      <c r="O354" s="129">
        <v>94.56</v>
      </c>
      <c r="P354" s="130">
        <f t="shared" si="17"/>
        <v>945.6</v>
      </c>
      <c r="Q354" s="125" t="s">
        <v>27</v>
      </c>
      <c r="R354" s="124" t="s">
        <v>28</v>
      </c>
      <c r="S354" s="124" t="s">
        <v>138</v>
      </c>
    </row>
    <row r="355" spans="1:19" ht="18" customHeight="1">
      <c r="A355" s="124" t="s">
        <v>2039</v>
      </c>
      <c r="B355" s="125" t="s">
        <v>1948</v>
      </c>
      <c r="C355" s="125" t="s">
        <v>2040</v>
      </c>
      <c r="D355" s="11" t="s">
        <v>59</v>
      </c>
      <c r="E355" s="125" t="s">
        <v>2041</v>
      </c>
      <c r="F355" s="125" t="s">
        <v>2042</v>
      </c>
      <c r="G355" s="125" t="s">
        <v>2043</v>
      </c>
      <c r="H355" s="125" t="s">
        <v>2044</v>
      </c>
      <c r="I355" s="125" t="s">
        <v>2045</v>
      </c>
      <c r="J355" s="126">
        <v>35</v>
      </c>
      <c r="K355" s="127">
        <f t="shared" si="15"/>
        <v>1.4</v>
      </c>
      <c r="L355" s="127">
        <v>25</v>
      </c>
      <c r="M355" s="127">
        <v>3</v>
      </c>
      <c r="N355" s="128">
        <f t="shared" si="16"/>
        <v>11.666666666666666</v>
      </c>
      <c r="O355" s="129">
        <v>94.56</v>
      </c>
      <c r="P355" s="130">
        <f t="shared" si="17"/>
        <v>1103.2</v>
      </c>
      <c r="Q355" s="125" t="s">
        <v>27</v>
      </c>
      <c r="R355" s="124" t="s">
        <v>28</v>
      </c>
      <c r="S355" s="124" t="s">
        <v>138</v>
      </c>
    </row>
    <row r="356" spans="1:19" ht="18" customHeight="1">
      <c r="A356" s="47" t="s">
        <v>2046</v>
      </c>
      <c r="B356" s="48" t="s">
        <v>2047</v>
      </c>
      <c r="C356" s="48" t="s">
        <v>2048</v>
      </c>
      <c r="D356" s="15" t="s">
        <v>519</v>
      </c>
      <c r="E356" s="48" t="s">
        <v>2049</v>
      </c>
      <c r="F356" s="48" t="s">
        <v>2050</v>
      </c>
      <c r="G356" s="48" t="s">
        <v>2051</v>
      </c>
      <c r="H356" s="48" t="s">
        <v>2052</v>
      </c>
      <c r="I356" s="48" t="s">
        <v>2053</v>
      </c>
      <c r="J356" s="49">
        <v>500</v>
      </c>
      <c r="K356" s="50">
        <f t="shared" si="15"/>
        <v>6.25</v>
      </c>
      <c r="L356" s="50">
        <v>80</v>
      </c>
      <c r="M356" s="50">
        <v>5</v>
      </c>
      <c r="N356" s="51">
        <f t="shared" si="16"/>
        <v>100</v>
      </c>
      <c r="O356" s="52">
        <v>94.56</v>
      </c>
      <c r="P356" s="53">
        <f t="shared" si="17"/>
        <v>9456</v>
      </c>
      <c r="Q356" s="48" t="s">
        <v>37</v>
      </c>
      <c r="R356" s="47" t="s">
        <v>85</v>
      </c>
      <c r="S356" s="47" t="s">
        <v>669</v>
      </c>
    </row>
    <row r="357" spans="1:19" ht="18" customHeight="1">
      <c r="A357" s="47" t="s">
        <v>2054</v>
      </c>
      <c r="B357" s="48" t="s">
        <v>2047</v>
      </c>
      <c r="C357" s="48" t="s">
        <v>2055</v>
      </c>
      <c r="D357" s="13" t="s">
        <v>81</v>
      </c>
      <c r="E357" s="48" t="s">
        <v>2056</v>
      </c>
      <c r="F357" s="48" t="s">
        <v>2057</v>
      </c>
      <c r="G357" s="48" t="s">
        <v>2058</v>
      </c>
      <c r="H357" s="48" t="s">
        <v>2058</v>
      </c>
      <c r="I357" s="48" t="s">
        <v>2059</v>
      </c>
      <c r="J357" s="49">
        <v>520</v>
      </c>
      <c r="K357" s="50">
        <f t="shared" si="15"/>
        <v>10.4</v>
      </c>
      <c r="L357" s="50">
        <v>50</v>
      </c>
      <c r="M357" s="50">
        <v>4.5</v>
      </c>
      <c r="N357" s="51">
        <f t="shared" si="16"/>
        <v>115.55555555555556</v>
      </c>
      <c r="O357" s="52">
        <v>94.56</v>
      </c>
      <c r="P357" s="53">
        <f t="shared" si="17"/>
        <v>10926.933333333334</v>
      </c>
      <c r="Q357" s="48" t="s">
        <v>27</v>
      </c>
      <c r="R357" s="47" t="s">
        <v>85</v>
      </c>
      <c r="S357" s="47" t="s">
        <v>86</v>
      </c>
    </row>
    <row r="358" spans="1:19" ht="18" customHeight="1">
      <c r="A358" s="47" t="s">
        <v>2060</v>
      </c>
      <c r="B358" s="48" t="s">
        <v>2047</v>
      </c>
      <c r="C358" s="48" t="s">
        <v>2061</v>
      </c>
      <c r="D358" s="13" t="s">
        <v>81</v>
      </c>
      <c r="E358" s="48" t="s">
        <v>2062</v>
      </c>
      <c r="F358" s="48" t="s">
        <v>2063</v>
      </c>
      <c r="G358" s="48" t="s">
        <v>2064</v>
      </c>
      <c r="H358" s="48" t="s">
        <v>2064</v>
      </c>
      <c r="I358" s="48" t="s">
        <v>2053</v>
      </c>
      <c r="J358" s="49">
        <v>160</v>
      </c>
      <c r="K358" s="50">
        <f t="shared" si="15"/>
        <v>3.2</v>
      </c>
      <c r="L358" s="50">
        <v>50</v>
      </c>
      <c r="M358" s="50">
        <v>4.5</v>
      </c>
      <c r="N358" s="51">
        <f t="shared" si="16"/>
        <v>35.555555555555557</v>
      </c>
      <c r="O358" s="52">
        <v>94.56</v>
      </c>
      <c r="P358" s="53">
        <f t="shared" si="17"/>
        <v>3362.1333333333337</v>
      </c>
      <c r="Q358" s="48" t="s">
        <v>37</v>
      </c>
      <c r="R358" s="47" t="s">
        <v>85</v>
      </c>
      <c r="S358" s="47" t="s">
        <v>86</v>
      </c>
    </row>
    <row r="359" spans="1:19" ht="18" customHeight="1">
      <c r="A359" s="47" t="s">
        <v>2065</v>
      </c>
      <c r="B359" s="48" t="s">
        <v>2047</v>
      </c>
      <c r="C359" s="48" t="s">
        <v>2066</v>
      </c>
      <c r="D359" s="13" t="s">
        <v>81</v>
      </c>
      <c r="E359" s="48" t="s">
        <v>2049</v>
      </c>
      <c r="F359" s="48" t="s">
        <v>2067</v>
      </c>
      <c r="G359" s="48" t="s">
        <v>2068</v>
      </c>
      <c r="H359" s="48" t="s">
        <v>2068</v>
      </c>
      <c r="I359" s="48" t="s">
        <v>2053</v>
      </c>
      <c r="J359" s="49">
        <v>220</v>
      </c>
      <c r="K359" s="50">
        <f t="shared" si="15"/>
        <v>4.4000000000000004</v>
      </c>
      <c r="L359" s="50">
        <v>50</v>
      </c>
      <c r="M359" s="50">
        <v>4.5</v>
      </c>
      <c r="N359" s="51">
        <f t="shared" si="16"/>
        <v>48.888888888888886</v>
      </c>
      <c r="O359" s="52">
        <v>94.56</v>
      </c>
      <c r="P359" s="53">
        <f t="shared" si="17"/>
        <v>4622.9333333333334</v>
      </c>
      <c r="Q359" s="48" t="s">
        <v>37</v>
      </c>
      <c r="R359" s="47" t="s">
        <v>85</v>
      </c>
      <c r="S359" s="47" t="s">
        <v>86</v>
      </c>
    </row>
    <row r="360" spans="1:19" ht="18" customHeight="1">
      <c r="A360" s="47" t="s">
        <v>2069</v>
      </c>
      <c r="B360" s="48" t="s">
        <v>2047</v>
      </c>
      <c r="C360" s="48" t="s">
        <v>2070</v>
      </c>
      <c r="D360" s="13" t="s">
        <v>81</v>
      </c>
      <c r="E360" s="48" t="s">
        <v>770</v>
      </c>
      <c r="F360" s="48" t="s">
        <v>2071</v>
      </c>
      <c r="G360" s="48" t="s">
        <v>2072</v>
      </c>
      <c r="H360" s="48" t="s">
        <v>2073</v>
      </c>
      <c r="I360" s="48" t="s">
        <v>2074</v>
      </c>
      <c r="J360" s="49">
        <v>540</v>
      </c>
      <c r="K360" s="50">
        <f t="shared" si="15"/>
        <v>10.8</v>
      </c>
      <c r="L360" s="50">
        <v>50</v>
      </c>
      <c r="M360" s="50">
        <v>4.5</v>
      </c>
      <c r="N360" s="51">
        <f t="shared" si="16"/>
        <v>120</v>
      </c>
      <c r="O360" s="52">
        <v>94.56</v>
      </c>
      <c r="P360" s="53">
        <f t="shared" si="17"/>
        <v>11347.2</v>
      </c>
      <c r="Q360" s="48" t="s">
        <v>37</v>
      </c>
      <c r="R360" s="47" t="s">
        <v>85</v>
      </c>
      <c r="S360" s="47" t="s">
        <v>86</v>
      </c>
    </row>
    <row r="361" spans="1:19" ht="18" customHeight="1">
      <c r="A361" s="47" t="s">
        <v>2075</v>
      </c>
      <c r="B361" s="48" t="s">
        <v>2047</v>
      </c>
      <c r="C361" s="48" t="s">
        <v>2076</v>
      </c>
      <c r="D361" s="13" t="s">
        <v>81</v>
      </c>
      <c r="E361" s="48" t="s">
        <v>2077</v>
      </c>
      <c r="F361" s="48" t="s">
        <v>2078</v>
      </c>
      <c r="G361" s="48" t="s">
        <v>2079</v>
      </c>
      <c r="H361" s="48" t="s">
        <v>2080</v>
      </c>
      <c r="I361" s="48" t="s">
        <v>2081</v>
      </c>
      <c r="J361" s="49">
        <v>70</v>
      </c>
      <c r="K361" s="50">
        <f t="shared" si="15"/>
        <v>1.4</v>
      </c>
      <c r="L361" s="50">
        <v>50</v>
      </c>
      <c r="M361" s="50">
        <v>4.5</v>
      </c>
      <c r="N361" s="51">
        <f t="shared" si="16"/>
        <v>15.555555555555555</v>
      </c>
      <c r="O361" s="52">
        <v>94.56</v>
      </c>
      <c r="P361" s="53">
        <f t="shared" si="17"/>
        <v>1470.9333333333334</v>
      </c>
      <c r="Q361" s="48" t="s">
        <v>37</v>
      </c>
      <c r="R361" s="47" t="s">
        <v>85</v>
      </c>
      <c r="S361" s="47" t="s">
        <v>86</v>
      </c>
    </row>
    <row r="362" spans="1:19" ht="18" customHeight="1">
      <c r="A362" s="47" t="s">
        <v>2082</v>
      </c>
      <c r="B362" s="48" t="s">
        <v>2047</v>
      </c>
      <c r="C362" s="48" t="s">
        <v>2083</v>
      </c>
      <c r="D362" s="13" t="s">
        <v>81</v>
      </c>
      <c r="E362" s="48" t="s">
        <v>2084</v>
      </c>
      <c r="F362" s="48" t="s">
        <v>2085</v>
      </c>
      <c r="G362" s="48" t="s">
        <v>2086</v>
      </c>
      <c r="H362" s="48" t="s">
        <v>2087</v>
      </c>
      <c r="I362" s="48" t="s">
        <v>2088</v>
      </c>
      <c r="J362" s="49">
        <v>350</v>
      </c>
      <c r="K362" s="50">
        <f t="shared" si="15"/>
        <v>7</v>
      </c>
      <c r="L362" s="50">
        <v>50</v>
      </c>
      <c r="M362" s="50">
        <v>4.5</v>
      </c>
      <c r="N362" s="51">
        <f t="shared" si="16"/>
        <v>77.777777777777771</v>
      </c>
      <c r="O362" s="52">
        <v>94.56</v>
      </c>
      <c r="P362" s="53">
        <f t="shared" si="17"/>
        <v>7354.6666666666661</v>
      </c>
      <c r="Q362" s="48" t="s">
        <v>27</v>
      </c>
      <c r="R362" s="47" t="s">
        <v>85</v>
      </c>
      <c r="S362" s="47" t="s">
        <v>86</v>
      </c>
    </row>
    <row r="363" spans="1:19" ht="18" customHeight="1">
      <c r="A363" s="47" t="s">
        <v>2089</v>
      </c>
      <c r="B363" s="48" t="s">
        <v>2047</v>
      </c>
      <c r="C363" s="48" t="s">
        <v>2090</v>
      </c>
      <c r="D363" s="13" t="s">
        <v>81</v>
      </c>
      <c r="E363" s="48" t="s">
        <v>2091</v>
      </c>
      <c r="F363" s="48" t="s">
        <v>2071</v>
      </c>
      <c r="G363" s="48" t="s">
        <v>2092</v>
      </c>
      <c r="H363" s="48" t="s">
        <v>2092</v>
      </c>
      <c r="I363" s="48" t="s">
        <v>2081</v>
      </c>
      <c r="J363" s="49">
        <v>240</v>
      </c>
      <c r="K363" s="50">
        <f t="shared" si="15"/>
        <v>4.8</v>
      </c>
      <c r="L363" s="50">
        <v>50</v>
      </c>
      <c r="M363" s="50">
        <v>4.5</v>
      </c>
      <c r="N363" s="51">
        <f t="shared" si="16"/>
        <v>53.333333333333336</v>
      </c>
      <c r="O363" s="52">
        <v>94.56</v>
      </c>
      <c r="P363" s="53">
        <f t="shared" si="17"/>
        <v>5043.2000000000007</v>
      </c>
      <c r="Q363" s="48" t="s">
        <v>37</v>
      </c>
      <c r="R363" s="47" t="s">
        <v>85</v>
      </c>
      <c r="S363" s="47" t="s">
        <v>86</v>
      </c>
    </row>
    <row r="364" spans="1:19" ht="18" customHeight="1">
      <c r="A364" s="47" t="s">
        <v>2093</v>
      </c>
      <c r="B364" s="48" t="s">
        <v>2047</v>
      </c>
      <c r="C364" s="48" t="s">
        <v>2094</v>
      </c>
      <c r="D364" s="12" t="s">
        <v>67</v>
      </c>
      <c r="E364" s="48" t="s">
        <v>2095</v>
      </c>
      <c r="F364" s="48" t="s">
        <v>2096</v>
      </c>
      <c r="G364" s="48" t="s">
        <v>2097</v>
      </c>
      <c r="H364" s="48" t="s">
        <v>2095</v>
      </c>
      <c r="I364" s="48" t="s">
        <v>2098</v>
      </c>
      <c r="J364" s="49">
        <v>70</v>
      </c>
      <c r="K364" s="50">
        <f t="shared" si="15"/>
        <v>1.75</v>
      </c>
      <c r="L364" s="50">
        <v>40</v>
      </c>
      <c r="M364" s="50">
        <v>3.5</v>
      </c>
      <c r="N364" s="51">
        <f t="shared" si="16"/>
        <v>20</v>
      </c>
      <c r="O364" s="52">
        <v>94.56</v>
      </c>
      <c r="P364" s="53">
        <f t="shared" si="17"/>
        <v>1891.2</v>
      </c>
      <c r="Q364" s="48" t="s">
        <v>27</v>
      </c>
      <c r="R364" s="47" t="s">
        <v>28</v>
      </c>
      <c r="S364" s="47" t="s">
        <v>524</v>
      </c>
    </row>
    <row r="365" spans="1:19" ht="18" customHeight="1">
      <c r="A365" s="47" t="s">
        <v>2099</v>
      </c>
      <c r="B365" s="48" t="s">
        <v>2047</v>
      </c>
      <c r="C365" s="48" t="s">
        <v>2100</v>
      </c>
      <c r="D365" s="12" t="s">
        <v>67</v>
      </c>
      <c r="E365" s="48" t="s">
        <v>2080</v>
      </c>
      <c r="F365" s="48" t="s">
        <v>2077</v>
      </c>
      <c r="G365" s="48" t="s">
        <v>2101</v>
      </c>
      <c r="H365" s="48" t="s">
        <v>2080</v>
      </c>
      <c r="I365" s="48" t="s">
        <v>2081</v>
      </c>
      <c r="J365" s="49">
        <v>25</v>
      </c>
      <c r="K365" s="50">
        <f t="shared" si="15"/>
        <v>0.625</v>
      </c>
      <c r="L365" s="50">
        <v>40</v>
      </c>
      <c r="M365" s="50">
        <v>3.5</v>
      </c>
      <c r="N365" s="51">
        <f t="shared" si="16"/>
        <v>7.1428571428571432</v>
      </c>
      <c r="O365" s="52">
        <v>94.56</v>
      </c>
      <c r="P365" s="53">
        <f t="shared" si="17"/>
        <v>675.42857142857144</v>
      </c>
      <c r="Q365" s="48" t="s">
        <v>37</v>
      </c>
      <c r="R365" s="47" t="s">
        <v>28</v>
      </c>
      <c r="S365" s="47" t="s">
        <v>524</v>
      </c>
    </row>
    <row r="366" spans="1:19" ht="18" customHeight="1">
      <c r="A366" s="47" t="s">
        <v>2102</v>
      </c>
      <c r="B366" s="48" t="s">
        <v>2047</v>
      </c>
      <c r="C366" s="48" t="s">
        <v>2103</v>
      </c>
      <c r="D366" s="4" t="s">
        <v>22</v>
      </c>
      <c r="E366" s="48" t="s">
        <v>2084</v>
      </c>
      <c r="F366" s="48" t="s">
        <v>2085</v>
      </c>
      <c r="G366" s="48" t="s">
        <v>2104</v>
      </c>
      <c r="H366" s="48" t="s">
        <v>2104</v>
      </c>
      <c r="I366" s="48" t="s">
        <v>2105</v>
      </c>
      <c r="J366" s="49">
        <v>210</v>
      </c>
      <c r="K366" s="50">
        <f t="shared" si="15"/>
        <v>4.666666666666667</v>
      </c>
      <c r="L366" s="50">
        <v>45</v>
      </c>
      <c r="M366" s="50">
        <v>4</v>
      </c>
      <c r="N366" s="51">
        <f t="shared" si="16"/>
        <v>52.5</v>
      </c>
      <c r="O366" s="52">
        <v>94.56</v>
      </c>
      <c r="P366" s="53">
        <f t="shared" si="17"/>
        <v>4964.4000000000005</v>
      </c>
      <c r="Q366" s="48" t="s">
        <v>27</v>
      </c>
      <c r="R366" s="47" t="s">
        <v>28</v>
      </c>
      <c r="S366" s="47" t="s">
        <v>524</v>
      </c>
    </row>
    <row r="367" spans="1:19" ht="18" customHeight="1">
      <c r="A367" s="47" t="s">
        <v>2106</v>
      </c>
      <c r="B367" s="48" t="s">
        <v>2047</v>
      </c>
      <c r="C367" s="48" t="s">
        <v>2107</v>
      </c>
      <c r="D367" s="4" t="s">
        <v>22</v>
      </c>
      <c r="E367" s="48" t="s">
        <v>2091</v>
      </c>
      <c r="F367" s="48" t="s">
        <v>2108</v>
      </c>
      <c r="G367" s="48" t="s">
        <v>2109</v>
      </c>
      <c r="H367" s="48" t="s">
        <v>2091</v>
      </c>
      <c r="I367" s="48" t="s">
        <v>2110</v>
      </c>
      <c r="J367" s="49">
        <v>15</v>
      </c>
      <c r="K367" s="50">
        <f t="shared" si="15"/>
        <v>0.33333333333333331</v>
      </c>
      <c r="L367" s="50">
        <v>45</v>
      </c>
      <c r="M367" s="50">
        <v>4</v>
      </c>
      <c r="N367" s="51">
        <f t="shared" si="16"/>
        <v>3.75</v>
      </c>
      <c r="O367" s="52">
        <v>94.56</v>
      </c>
      <c r="P367" s="53">
        <f t="shared" si="17"/>
        <v>354.6</v>
      </c>
      <c r="Q367" s="48" t="s">
        <v>37</v>
      </c>
      <c r="R367" s="47" t="s">
        <v>28</v>
      </c>
      <c r="S367" s="47" t="s">
        <v>524</v>
      </c>
    </row>
    <row r="368" spans="1:19" ht="18" customHeight="1">
      <c r="A368" s="47" t="s">
        <v>2111</v>
      </c>
      <c r="B368" s="48" t="s">
        <v>2047</v>
      </c>
      <c r="C368" s="48" t="s">
        <v>2112</v>
      </c>
      <c r="D368" s="4" t="s">
        <v>22</v>
      </c>
      <c r="E368" s="48" t="s">
        <v>2067</v>
      </c>
      <c r="F368" s="48" t="s">
        <v>2113</v>
      </c>
      <c r="G368" s="48" t="s">
        <v>2114</v>
      </c>
      <c r="H368" s="48" t="s">
        <v>2114</v>
      </c>
      <c r="I368" s="48" t="s">
        <v>2115</v>
      </c>
      <c r="J368" s="49">
        <v>65</v>
      </c>
      <c r="K368" s="50">
        <f t="shared" si="15"/>
        <v>1.4444444444444444</v>
      </c>
      <c r="L368" s="50">
        <v>45</v>
      </c>
      <c r="M368" s="50">
        <v>4</v>
      </c>
      <c r="N368" s="51">
        <f t="shared" si="16"/>
        <v>16.25</v>
      </c>
      <c r="O368" s="52">
        <v>94.56</v>
      </c>
      <c r="P368" s="53">
        <f t="shared" si="17"/>
        <v>1536.6000000000001</v>
      </c>
      <c r="Q368" s="48" t="s">
        <v>27</v>
      </c>
      <c r="R368" s="47" t="s">
        <v>28</v>
      </c>
      <c r="S368" s="47" t="s">
        <v>524</v>
      </c>
    </row>
    <row r="369" spans="1:19" ht="18" customHeight="1">
      <c r="A369" s="47" t="s">
        <v>2116</v>
      </c>
      <c r="B369" s="48" t="s">
        <v>2047</v>
      </c>
      <c r="C369" s="48" t="s">
        <v>2117</v>
      </c>
      <c r="D369" s="10" t="s">
        <v>45</v>
      </c>
      <c r="E369" s="48" t="s">
        <v>2118</v>
      </c>
      <c r="F369" s="48" t="s">
        <v>2119</v>
      </c>
      <c r="G369" s="48" t="s">
        <v>2062</v>
      </c>
      <c r="H369" s="48" t="s">
        <v>2062</v>
      </c>
      <c r="I369" s="48" t="s">
        <v>2120</v>
      </c>
      <c r="J369" s="49">
        <v>15</v>
      </c>
      <c r="K369" s="50">
        <f t="shared" si="15"/>
        <v>0.75</v>
      </c>
      <c r="L369" s="50">
        <v>20</v>
      </c>
      <c r="M369" s="50">
        <v>3.5</v>
      </c>
      <c r="N369" s="51">
        <f t="shared" si="16"/>
        <v>4.2857142857142856</v>
      </c>
      <c r="O369" s="52">
        <v>94.56</v>
      </c>
      <c r="P369" s="53">
        <f t="shared" si="17"/>
        <v>405.25714285714287</v>
      </c>
      <c r="Q369" s="48" t="s">
        <v>27</v>
      </c>
      <c r="R369" s="47" t="s">
        <v>28</v>
      </c>
      <c r="S369" s="47" t="s">
        <v>524</v>
      </c>
    </row>
    <row r="370" spans="1:19" ht="18" customHeight="1">
      <c r="A370" s="47" t="s">
        <v>2121</v>
      </c>
      <c r="B370" s="48" t="s">
        <v>2047</v>
      </c>
      <c r="C370" s="48" t="s">
        <v>2122</v>
      </c>
      <c r="D370" s="10" t="s">
        <v>45</v>
      </c>
      <c r="E370" s="48" t="s">
        <v>2123</v>
      </c>
      <c r="F370" s="48" t="s">
        <v>2124</v>
      </c>
      <c r="G370" s="48" t="s">
        <v>2084</v>
      </c>
      <c r="H370" s="48" t="s">
        <v>2084</v>
      </c>
      <c r="I370" s="48" t="s">
        <v>2125</v>
      </c>
      <c r="J370" s="49">
        <v>10</v>
      </c>
      <c r="K370" s="50">
        <f t="shared" si="15"/>
        <v>0.5</v>
      </c>
      <c r="L370" s="50">
        <v>20</v>
      </c>
      <c r="M370" s="50">
        <v>3.5</v>
      </c>
      <c r="N370" s="51">
        <f t="shared" si="16"/>
        <v>2.8571428571428572</v>
      </c>
      <c r="O370" s="52">
        <v>94.56</v>
      </c>
      <c r="P370" s="53">
        <f t="shared" si="17"/>
        <v>270.17142857142858</v>
      </c>
      <c r="Q370" s="48" t="s">
        <v>37</v>
      </c>
      <c r="R370" s="47" t="s">
        <v>28</v>
      </c>
      <c r="S370" s="47" t="s">
        <v>524</v>
      </c>
    </row>
    <row r="371" spans="1:19" ht="18" customHeight="1">
      <c r="A371" s="47" t="s">
        <v>2126</v>
      </c>
      <c r="B371" s="48" t="s">
        <v>2047</v>
      </c>
      <c r="C371" s="48" t="s">
        <v>2127</v>
      </c>
      <c r="D371" s="10" t="s">
        <v>45</v>
      </c>
      <c r="E371" s="48" t="s">
        <v>2128</v>
      </c>
      <c r="F371" s="48" t="s">
        <v>2129</v>
      </c>
      <c r="G371" s="48" t="s">
        <v>2071</v>
      </c>
      <c r="H371" s="48" t="s">
        <v>2071</v>
      </c>
      <c r="I371" s="48" t="s">
        <v>2130</v>
      </c>
      <c r="J371" s="49">
        <v>8</v>
      </c>
      <c r="K371" s="50">
        <f t="shared" si="15"/>
        <v>0.4</v>
      </c>
      <c r="L371" s="50">
        <v>20</v>
      </c>
      <c r="M371" s="50">
        <v>3.5</v>
      </c>
      <c r="N371" s="51">
        <f t="shared" si="16"/>
        <v>2.2857142857142856</v>
      </c>
      <c r="O371" s="52">
        <v>94.56</v>
      </c>
      <c r="P371" s="53">
        <f t="shared" si="17"/>
        <v>216.13714285714286</v>
      </c>
      <c r="Q371" s="48" t="s">
        <v>37</v>
      </c>
      <c r="R371" s="47" t="s">
        <v>28</v>
      </c>
      <c r="S371" s="47" t="s">
        <v>524</v>
      </c>
    </row>
    <row r="372" spans="1:19" ht="18" customHeight="1">
      <c r="A372" s="47" t="s">
        <v>2131</v>
      </c>
      <c r="B372" s="48" t="s">
        <v>2047</v>
      </c>
      <c r="C372" s="48" t="s">
        <v>2132</v>
      </c>
      <c r="D372" s="11" t="s">
        <v>59</v>
      </c>
      <c r="E372" s="48" t="s">
        <v>2133</v>
      </c>
      <c r="F372" s="48" t="s">
        <v>2134</v>
      </c>
      <c r="G372" s="48" t="s">
        <v>2135</v>
      </c>
      <c r="H372" s="48" t="s">
        <v>2133</v>
      </c>
      <c r="I372" s="48" t="s">
        <v>2136</v>
      </c>
      <c r="J372" s="49">
        <v>50</v>
      </c>
      <c r="K372" s="50">
        <f t="shared" si="15"/>
        <v>2</v>
      </c>
      <c r="L372" s="50">
        <v>25</v>
      </c>
      <c r="M372" s="50">
        <v>3</v>
      </c>
      <c r="N372" s="51">
        <f t="shared" si="16"/>
        <v>16.666666666666668</v>
      </c>
      <c r="O372" s="52">
        <v>94.56</v>
      </c>
      <c r="P372" s="53">
        <f t="shared" si="17"/>
        <v>1576.0000000000002</v>
      </c>
      <c r="Q372" s="48" t="s">
        <v>27</v>
      </c>
      <c r="R372" s="47" t="s">
        <v>28</v>
      </c>
      <c r="S372" s="47" t="s">
        <v>524</v>
      </c>
    </row>
    <row r="373" spans="1:19" ht="18" customHeight="1">
      <c r="A373" s="47" t="s">
        <v>2137</v>
      </c>
      <c r="B373" s="48" t="s">
        <v>2047</v>
      </c>
      <c r="C373" s="48" t="s">
        <v>2138</v>
      </c>
      <c r="D373" s="11" t="s">
        <v>59</v>
      </c>
      <c r="E373" s="48" t="s">
        <v>2139</v>
      </c>
      <c r="F373" s="48" t="s">
        <v>2140</v>
      </c>
      <c r="G373" s="48" t="s">
        <v>2141</v>
      </c>
      <c r="H373" s="48" t="s">
        <v>2139</v>
      </c>
      <c r="I373" s="48" t="s">
        <v>2142</v>
      </c>
      <c r="J373" s="49">
        <v>45</v>
      </c>
      <c r="K373" s="50">
        <f t="shared" si="15"/>
        <v>1.8</v>
      </c>
      <c r="L373" s="50">
        <v>25</v>
      </c>
      <c r="M373" s="50">
        <v>3</v>
      </c>
      <c r="N373" s="51">
        <f t="shared" si="16"/>
        <v>15</v>
      </c>
      <c r="O373" s="52">
        <v>94.56</v>
      </c>
      <c r="P373" s="53">
        <f t="shared" si="17"/>
        <v>1418.4</v>
      </c>
      <c r="Q373" s="48" t="s">
        <v>64</v>
      </c>
      <c r="R373" s="47" t="s">
        <v>28</v>
      </c>
      <c r="S373" s="47" t="s">
        <v>524</v>
      </c>
    </row>
    <row r="374" spans="1:19" ht="18" customHeight="1">
      <c r="A374" s="47" t="s">
        <v>2143</v>
      </c>
      <c r="B374" s="48" t="s">
        <v>2047</v>
      </c>
      <c r="C374" s="48" t="s">
        <v>2144</v>
      </c>
      <c r="D374" s="11" t="s">
        <v>59</v>
      </c>
      <c r="E374" s="48" t="s">
        <v>2145</v>
      </c>
      <c r="F374" s="48" t="s">
        <v>2146</v>
      </c>
      <c r="G374" s="48" t="s">
        <v>2147</v>
      </c>
      <c r="H374" s="48" t="s">
        <v>2145</v>
      </c>
      <c r="I374" s="48" t="s">
        <v>2148</v>
      </c>
      <c r="J374" s="49">
        <v>35</v>
      </c>
      <c r="K374" s="50">
        <f t="shared" si="15"/>
        <v>1.4</v>
      </c>
      <c r="L374" s="50">
        <v>25</v>
      </c>
      <c r="M374" s="50">
        <v>3</v>
      </c>
      <c r="N374" s="51">
        <f t="shared" si="16"/>
        <v>11.666666666666666</v>
      </c>
      <c r="O374" s="52">
        <v>94.56</v>
      </c>
      <c r="P374" s="53">
        <f t="shared" si="17"/>
        <v>1103.2</v>
      </c>
      <c r="Q374" s="48" t="s">
        <v>64</v>
      </c>
      <c r="R374" s="47" t="s">
        <v>28</v>
      </c>
      <c r="S374" s="47" t="s">
        <v>138</v>
      </c>
    </row>
    <row r="375" spans="1:19" ht="18" customHeight="1">
      <c r="A375" s="47" t="s">
        <v>2149</v>
      </c>
      <c r="B375" s="48" t="s">
        <v>2047</v>
      </c>
      <c r="C375" s="48" t="s">
        <v>2150</v>
      </c>
      <c r="D375" s="11" t="s">
        <v>59</v>
      </c>
      <c r="E375" s="48" t="s">
        <v>2151</v>
      </c>
      <c r="F375" s="48" t="s">
        <v>2152</v>
      </c>
      <c r="G375" s="48" t="s">
        <v>2153</v>
      </c>
      <c r="H375" s="48" t="s">
        <v>2151</v>
      </c>
      <c r="I375" s="48" t="s">
        <v>2148</v>
      </c>
      <c r="J375" s="49">
        <v>40</v>
      </c>
      <c r="K375" s="50">
        <f t="shared" si="15"/>
        <v>1.6</v>
      </c>
      <c r="L375" s="50">
        <v>25</v>
      </c>
      <c r="M375" s="50">
        <v>3</v>
      </c>
      <c r="N375" s="51">
        <f t="shared" si="16"/>
        <v>13.333333333333334</v>
      </c>
      <c r="O375" s="52">
        <v>94.56</v>
      </c>
      <c r="P375" s="53">
        <f t="shared" si="17"/>
        <v>1260.8000000000002</v>
      </c>
      <c r="Q375" s="48" t="s">
        <v>64</v>
      </c>
      <c r="R375" s="47" t="s">
        <v>28</v>
      </c>
      <c r="S375" s="47" t="s">
        <v>138</v>
      </c>
    </row>
    <row r="376" spans="1:19" ht="18" customHeight="1">
      <c r="A376" s="131" t="s">
        <v>2154</v>
      </c>
      <c r="B376" s="132" t="s">
        <v>2155</v>
      </c>
      <c r="C376" s="132" t="s">
        <v>2156</v>
      </c>
      <c r="D376" s="13" t="s">
        <v>81</v>
      </c>
      <c r="E376" s="132" t="s">
        <v>2157</v>
      </c>
      <c r="F376" s="132" t="s">
        <v>2158</v>
      </c>
      <c r="G376" s="132" t="s">
        <v>2159</v>
      </c>
      <c r="H376" s="132" t="s">
        <v>2160</v>
      </c>
      <c r="I376" s="132" t="s">
        <v>2161</v>
      </c>
      <c r="J376" s="133">
        <v>115</v>
      </c>
      <c r="K376" s="134">
        <f t="shared" si="15"/>
        <v>2.2999999999999998</v>
      </c>
      <c r="L376" s="134">
        <v>50</v>
      </c>
      <c r="M376" s="134">
        <v>4.5</v>
      </c>
      <c r="N376" s="135">
        <f t="shared" si="16"/>
        <v>25.555555555555557</v>
      </c>
      <c r="O376" s="136">
        <v>94.56</v>
      </c>
      <c r="P376" s="137">
        <f t="shared" si="17"/>
        <v>2416.5333333333338</v>
      </c>
      <c r="Q376" s="132" t="s">
        <v>27</v>
      </c>
      <c r="R376" s="131" t="s">
        <v>28</v>
      </c>
      <c r="S376" s="131" t="s">
        <v>86</v>
      </c>
    </row>
    <row r="377" spans="1:19" ht="18" customHeight="1">
      <c r="A377" s="131" t="s">
        <v>2162</v>
      </c>
      <c r="B377" s="132" t="s">
        <v>2155</v>
      </c>
      <c r="C377" s="132" t="s">
        <v>2163</v>
      </c>
      <c r="D377" s="13" t="s">
        <v>81</v>
      </c>
      <c r="E377" s="132" t="s">
        <v>2164</v>
      </c>
      <c r="F377" s="132" t="s">
        <v>2165</v>
      </c>
      <c r="G377" s="132" t="s">
        <v>2166</v>
      </c>
      <c r="H377" s="132" t="s">
        <v>2160</v>
      </c>
      <c r="I377" s="132" t="s">
        <v>2167</v>
      </c>
      <c r="J377" s="133">
        <v>35</v>
      </c>
      <c r="K377" s="134">
        <f t="shared" si="15"/>
        <v>0.7</v>
      </c>
      <c r="L377" s="134">
        <v>50</v>
      </c>
      <c r="M377" s="134">
        <v>4.5</v>
      </c>
      <c r="N377" s="135">
        <f t="shared" si="16"/>
        <v>7.7777777777777777</v>
      </c>
      <c r="O377" s="136">
        <v>94.56</v>
      </c>
      <c r="P377" s="137">
        <f t="shared" si="17"/>
        <v>735.4666666666667</v>
      </c>
      <c r="Q377" s="132" t="s">
        <v>27</v>
      </c>
      <c r="R377" s="131" t="s">
        <v>28</v>
      </c>
      <c r="S377" s="131" t="s">
        <v>86</v>
      </c>
    </row>
    <row r="378" spans="1:19" ht="18" customHeight="1">
      <c r="A378" s="131" t="s">
        <v>2168</v>
      </c>
      <c r="B378" s="132" t="s">
        <v>2155</v>
      </c>
      <c r="C378" s="132" t="s">
        <v>2169</v>
      </c>
      <c r="D378" s="13" t="s">
        <v>81</v>
      </c>
      <c r="E378" s="132" t="s">
        <v>2158</v>
      </c>
      <c r="F378" s="132" t="s">
        <v>2170</v>
      </c>
      <c r="G378" s="132" t="s">
        <v>2171</v>
      </c>
      <c r="H378" s="132" t="s">
        <v>2172</v>
      </c>
      <c r="I378" s="132" t="s">
        <v>2173</v>
      </c>
      <c r="J378" s="133">
        <v>65</v>
      </c>
      <c r="K378" s="134">
        <f t="shared" si="15"/>
        <v>1.3</v>
      </c>
      <c r="L378" s="134">
        <v>50</v>
      </c>
      <c r="M378" s="134">
        <v>4.5</v>
      </c>
      <c r="N378" s="135">
        <f t="shared" si="16"/>
        <v>14.444444444444445</v>
      </c>
      <c r="O378" s="136">
        <v>94.56</v>
      </c>
      <c r="P378" s="137">
        <f t="shared" si="17"/>
        <v>1365.8666666666668</v>
      </c>
      <c r="Q378" s="132" t="s">
        <v>64</v>
      </c>
      <c r="R378" s="131" t="s">
        <v>28</v>
      </c>
      <c r="S378" s="131" t="s">
        <v>86</v>
      </c>
    </row>
    <row r="379" spans="1:19" ht="18" customHeight="1">
      <c r="A379" s="131" t="s">
        <v>2174</v>
      </c>
      <c r="B379" s="132" t="s">
        <v>2155</v>
      </c>
      <c r="C379" s="132" t="s">
        <v>2175</v>
      </c>
      <c r="D379" s="11" t="s">
        <v>59</v>
      </c>
      <c r="E379" s="132" t="s">
        <v>2176</v>
      </c>
      <c r="F379" s="132" t="s">
        <v>2177</v>
      </c>
      <c r="G379" s="132" t="s">
        <v>2178</v>
      </c>
      <c r="H379" s="132" t="s">
        <v>2179</v>
      </c>
      <c r="I379" s="132" t="s">
        <v>2179</v>
      </c>
      <c r="J379" s="133">
        <v>30</v>
      </c>
      <c r="K379" s="134">
        <f t="shared" si="15"/>
        <v>1.2</v>
      </c>
      <c r="L379" s="134">
        <v>25</v>
      </c>
      <c r="M379" s="134">
        <v>3</v>
      </c>
      <c r="N379" s="135">
        <f t="shared" si="16"/>
        <v>10</v>
      </c>
      <c r="O379" s="136">
        <v>94.56</v>
      </c>
      <c r="P379" s="137">
        <f t="shared" si="17"/>
        <v>945.6</v>
      </c>
      <c r="Q379" s="132" t="s">
        <v>64</v>
      </c>
      <c r="R379" s="131" t="s">
        <v>28</v>
      </c>
      <c r="S379" s="131" t="s">
        <v>524</v>
      </c>
    </row>
    <row r="380" spans="1:19" ht="18" customHeight="1">
      <c r="A380" s="131" t="s">
        <v>2180</v>
      </c>
      <c r="B380" s="132" t="s">
        <v>2155</v>
      </c>
      <c r="C380" s="132" t="s">
        <v>2181</v>
      </c>
      <c r="D380" s="11" t="s">
        <v>59</v>
      </c>
      <c r="E380" s="132" t="s">
        <v>2170</v>
      </c>
      <c r="F380" s="132" t="s">
        <v>2182</v>
      </c>
      <c r="G380" s="132" t="s">
        <v>2183</v>
      </c>
      <c r="H380" s="132" t="s">
        <v>2184</v>
      </c>
      <c r="I380" s="132" t="s">
        <v>2184</v>
      </c>
      <c r="J380" s="133">
        <v>65</v>
      </c>
      <c r="K380" s="134">
        <f t="shared" si="15"/>
        <v>2.6</v>
      </c>
      <c r="L380" s="134">
        <v>25</v>
      </c>
      <c r="M380" s="134">
        <v>3</v>
      </c>
      <c r="N380" s="135">
        <f t="shared" si="16"/>
        <v>21.666666666666668</v>
      </c>
      <c r="O380" s="136">
        <v>94.56</v>
      </c>
      <c r="P380" s="137">
        <f t="shared" si="17"/>
        <v>2048.8000000000002</v>
      </c>
      <c r="Q380" s="132" t="s">
        <v>64</v>
      </c>
      <c r="R380" s="131" t="s">
        <v>28</v>
      </c>
      <c r="S380" s="131" t="s">
        <v>524</v>
      </c>
    </row>
    <row r="381" spans="1:19" ht="18" customHeight="1">
      <c r="A381" s="131" t="s">
        <v>2185</v>
      </c>
      <c r="B381" s="132" t="s">
        <v>2155</v>
      </c>
      <c r="C381" s="132" t="s">
        <v>2186</v>
      </c>
      <c r="D381" s="11" t="s">
        <v>59</v>
      </c>
      <c r="E381" s="132" t="s">
        <v>2187</v>
      </c>
      <c r="F381" s="132" t="s">
        <v>2188</v>
      </c>
      <c r="G381" s="132" t="s">
        <v>2189</v>
      </c>
      <c r="H381" s="132" t="s">
        <v>2161</v>
      </c>
      <c r="I381" s="132" t="s">
        <v>2161</v>
      </c>
      <c r="J381" s="133">
        <v>15</v>
      </c>
      <c r="K381" s="134">
        <f t="shared" si="15"/>
        <v>0.6</v>
      </c>
      <c r="L381" s="134">
        <v>25</v>
      </c>
      <c r="M381" s="134">
        <v>3</v>
      </c>
      <c r="N381" s="135">
        <f t="shared" si="16"/>
        <v>5</v>
      </c>
      <c r="O381" s="136">
        <v>94.56</v>
      </c>
      <c r="P381" s="137">
        <f t="shared" si="17"/>
        <v>472.8</v>
      </c>
      <c r="Q381" s="132" t="s">
        <v>27</v>
      </c>
      <c r="R381" s="131" t="s">
        <v>28</v>
      </c>
      <c r="S381" s="131" t="s">
        <v>524</v>
      </c>
    </row>
    <row r="382" spans="1:19" ht="18" customHeight="1">
      <c r="A382" s="131" t="s">
        <v>2190</v>
      </c>
      <c r="B382" s="132" t="s">
        <v>2155</v>
      </c>
      <c r="C382" s="132" t="s">
        <v>2191</v>
      </c>
      <c r="D382" s="4" t="s">
        <v>22</v>
      </c>
      <c r="E382" s="132" t="s">
        <v>2192</v>
      </c>
      <c r="F382" s="132" t="s">
        <v>2165</v>
      </c>
      <c r="G382" s="132" t="s">
        <v>2193</v>
      </c>
      <c r="H382" s="132" t="s">
        <v>2194</v>
      </c>
      <c r="I382" s="132" t="s">
        <v>2161</v>
      </c>
      <c r="J382" s="133">
        <v>20</v>
      </c>
      <c r="K382" s="134">
        <f t="shared" si="15"/>
        <v>0.44444444444444442</v>
      </c>
      <c r="L382" s="134">
        <v>45</v>
      </c>
      <c r="M382" s="134">
        <v>4</v>
      </c>
      <c r="N382" s="135">
        <f t="shared" si="16"/>
        <v>5</v>
      </c>
      <c r="O382" s="136">
        <v>94.56</v>
      </c>
      <c r="P382" s="137">
        <f t="shared" si="17"/>
        <v>472.8</v>
      </c>
      <c r="Q382" s="132" t="s">
        <v>37</v>
      </c>
      <c r="R382" s="131" t="s">
        <v>28</v>
      </c>
      <c r="S382" s="131" t="s">
        <v>125</v>
      </c>
    </row>
    <row r="383" spans="1:19" ht="18" customHeight="1">
      <c r="A383" s="131" t="s">
        <v>2195</v>
      </c>
      <c r="B383" s="132" t="s">
        <v>2155</v>
      </c>
      <c r="C383" s="132" t="s">
        <v>2196</v>
      </c>
      <c r="D383" s="12" t="s">
        <v>67</v>
      </c>
      <c r="E383" s="132" t="s">
        <v>2197</v>
      </c>
      <c r="F383" s="132" t="s">
        <v>2198</v>
      </c>
      <c r="G383" s="132" t="s">
        <v>2199</v>
      </c>
      <c r="H383" s="132" t="s">
        <v>2161</v>
      </c>
      <c r="I383" s="132" t="s">
        <v>2161</v>
      </c>
      <c r="J383" s="133">
        <v>25</v>
      </c>
      <c r="K383" s="134">
        <f t="shared" si="15"/>
        <v>0.625</v>
      </c>
      <c r="L383" s="134">
        <v>40</v>
      </c>
      <c r="M383" s="134">
        <v>3.5</v>
      </c>
      <c r="N383" s="135">
        <f t="shared" si="16"/>
        <v>7.1428571428571432</v>
      </c>
      <c r="O383" s="136">
        <v>94.56</v>
      </c>
      <c r="P383" s="137">
        <f t="shared" si="17"/>
        <v>675.42857142857144</v>
      </c>
      <c r="Q383" s="132" t="s">
        <v>27</v>
      </c>
      <c r="R383" s="131" t="s">
        <v>28</v>
      </c>
      <c r="S383" s="131" t="s">
        <v>125</v>
      </c>
    </row>
    <row r="384" spans="1:19" ht="18" customHeight="1">
      <c r="A384" s="131" t="s">
        <v>2200</v>
      </c>
      <c r="B384" s="132" t="s">
        <v>2155</v>
      </c>
      <c r="C384" s="132" t="s">
        <v>2201</v>
      </c>
      <c r="D384" s="11" t="s">
        <v>59</v>
      </c>
      <c r="E384" s="132" t="s">
        <v>2170</v>
      </c>
      <c r="F384" s="132" t="s">
        <v>2202</v>
      </c>
      <c r="G384" s="132" t="s">
        <v>2203</v>
      </c>
      <c r="H384" s="132" t="s">
        <v>2184</v>
      </c>
      <c r="I384" s="132" t="s">
        <v>2184</v>
      </c>
      <c r="J384" s="133">
        <v>30</v>
      </c>
      <c r="K384" s="134">
        <f t="shared" si="15"/>
        <v>1.2</v>
      </c>
      <c r="L384" s="134">
        <v>25</v>
      </c>
      <c r="M384" s="134">
        <v>3</v>
      </c>
      <c r="N384" s="135">
        <f t="shared" si="16"/>
        <v>10</v>
      </c>
      <c r="O384" s="136">
        <v>94.56</v>
      </c>
      <c r="P384" s="137">
        <f t="shared" si="17"/>
        <v>945.6</v>
      </c>
      <c r="Q384" s="132" t="s">
        <v>64</v>
      </c>
      <c r="R384" s="131" t="s">
        <v>28</v>
      </c>
      <c r="S384" s="131" t="s">
        <v>125</v>
      </c>
    </row>
    <row r="385" spans="1:19" ht="18" customHeight="1">
      <c r="A385" s="131" t="s">
        <v>2204</v>
      </c>
      <c r="B385" s="132" t="s">
        <v>2155</v>
      </c>
      <c r="C385" s="132" t="s">
        <v>2205</v>
      </c>
      <c r="D385" s="11" t="s">
        <v>59</v>
      </c>
      <c r="E385" s="132" t="s">
        <v>2158</v>
      </c>
      <c r="F385" s="132" t="s">
        <v>2206</v>
      </c>
      <c r="G385" s="132" t="s">
        <v>2207</v>
      </c>
      <c r="H385" s="132" t="s">
        <v>2172</v>
      </c>
      <c r="I385" s="132" t="s">
        <v>2184</v>
      </c>
      <c r="J385" s="133">
        <v>120</v>
      </c>
      <c r="K385" s="134">
        <f t="shared" si="15"/>
        <v>4.8</v>
      </c>
      <c r="L385" s="134">
        <v>25</v>
      </c>
      <c r="M385" s="134">
        <v>3</v>
      </c>
      <c r="N385" s="135">
        <f t="shared" si="16"/>
        <v>40</v>
      </c>
      <c r="O385" s="136">
        <v>94.56</v>
      </c>
      <c r="P385" s="137">
        <f t="shared" si="17"/>
        <v>3782.4</v>
      </c>
      <c r="Q385" s="132" t="s">
        <v>64</v>
      </c>
      <c r="R385" s="131" t="s">
        <v>28</v>
      </c>
      <c r="S385" s="131" t="s">
        <v>125</v>
      </c>
    </row>
    <row r="386" spans="1:19" ht="18" customHeight="1">
      <c r="A386" s="131" t="s">
        <v>2208</v>
      </c>
      <c r="B386" s="132" t="s">
        <v>2155</v>
      </c>
      <c r="C386" s="132" t="s">
        <v>2209</v>
      </c>
      <c r="D386" s="4" t="s">
        <v>22</v>
      </c>
      <c r="E386" s="132" t="s">
        <v>2158</v>
      </c>
      <c r="F386" s="132" t="s">
        <v>2210</v>
      </c>
      <c r="G386" s="132" t="s">
        <v>2211</v>
      </c>
      <c r="H386" s="132" t="s">
        <v>2194</v>
      </c>
      <c r="I386" s="132" t="s">
        <v>2212</v>
      </c>
      <c r="J386" s="133">
        <v>53</v>
      </c>
      <c r="K386" s="134">
        <f t="shared" ref="K386:K449" si="18">J386/L386</f>
        <v>1.1777777777777778</v>
      </c>
      <c r="L386" s="134">
        <v>45</v>
      </c>
      <c r="M386" s="134">
        <v>4</v>
      </c>
      <c r="N386" s="135">
        <f t="shared" ref="N386:N449" si="19">J386/M386</f>
        <v>13.25</v>
      </c>
      <c r="O386" s="136">
        <v>94.56</v>
      </c>
      <c r="P386" s="137">
        <f t="shared" ref="P386:P449" si="20">N386*O386</f>
        <v>1252.92</v>
      </c>
      <c r="Q386" s="132" t="s">
        <v>64</v>
      </c>
      <c r="R386" s="131" t="s">
        <v>28</v>
      </c>
      <c r="S386" s="131" t="s">
        <v>125</v>
      </c>
    </row>
    <row r="387" spans="1:19" ht="18" customHeight="1">
      <c r="A387" s="131" t="s">
        <v>2213</v>
      </c>
      <c r="B387" s="132" t="s">
        <v>2155</v>
      </c>
      <c r="C387" s="132" t="s">
        <v>2214</v>
      </c>
      <c r="D387" s="4" t="s">
        <v>22</v>
      </c>
      <c r="E387" s="132" t="s">
        <v>2215</v>
      </c>
      <c r="F387" s="132" t="s">
        <v>2198</v>
      </c>
      <c r="G387" s="132" t="s">
        <v>2216</v>
      </c>
      <c r="H387" s="132" t="s">
        <v>2161</v>
      </c>
      <c r="I387" s="132" t="s">
        <v>2161</v>
      </c>
      <c r="J387" s="133">
        <v>25</v>
      </c>
      <c r="K387" s="134">
        <f t="shared" si="18"/>
        <v>0.55555555555555558</v>
      </c>
      <c r="L387" s="134">
        <v>45</v>
      </c>
      <c r="M387" s="134">
        <v>4</v>
      </c>
      <c r="N387" s="135">
        <f t="shared" si="19"/>
        <v>6.25</v>
      </c>
      <c r="O387" s="136">
        <v>94.56</v>
      </c>
      <c r="P387" s="137">
        <f t="shared" si="20"/>
        <v>591</v>
      </c>
      <c r="Q387" s="132" t="s">
        <v>27</v>
      </c>
      <c r="R387" s="131" t="s">
        <v>28</v>
      </c>
      <c r="S387" s="131" t="s">
        <v>125</v>
      </c>
    </row>
    <row r="388" spans="1:19" ht="18" customHeight="1">
      <c r="A388" s="131" t="s">
        <v>2217</v>
      </c>
      <c r="B388" s="132" t="s">
        <v>2155</v>
      </c>
      <c r="C388" s="132" t="s">
        <v>2218</v>
      </c>
      <c r="D388" s="4" t="s">
        <v>22</v>
      </c>
      <c r="E388" s="132" t="s">
        <v>2219</v>
      </c>
      <c r="F388" s="132" t="s">
        <v>2192</v>
      </c>
      <c r="G388" s="132" t="s">
        <v>2220</v>
      </c>
      <c r="H388" s="132" t="s">
        <v>2221</v>
      </c>
      <c r="I388" s="132" t="s">
        <v>2222</v>
      </c>
      <c r="J388" s="133">
        <v>45</v>
      </c>
      <c r="K388" s="134">
        <f t="shared" si="18"/>
        <v>1</v>
      </c>
      <c r="L388" s="134">
        <v>45</v>
      </c>
      <c r="M388" s="134">
        <v>4</v>
      </c>
      <c r="N388" s="135">
        <f t="shared" si="19"/>
        <v>11.25</v>
      </c>
      <c r="O388" s="136">
        <v>94.56</v>
      </c>
      <c r="P388" s="137">
        <f t="shared" si="20"/>
        <v>1063.8</v>
      </c>
      <c r="Q388" s="132" t="s">
        <v>27</v>
      </c>
      <c r="R388" s="131" t="s">
        <v>28</v>
      </c>
      <c r="S388" s="131" t="s">
        <v>125</v>
      </c>
    </row>
    <row r="389" spans="1:19" ht="18" customHeight="1">
      <c r="A389" s="131" t="s">
        <v>2223</v>
      </c>
      <c r="B389" s="132" t="s">
        <v>2155</v>
      </c>
      <c r="C389" s="132" t="s">
        <v>2224</v>
      </c>
      <c r="D389" s="10" t="s">
        <v>45</v>
      </c>
      <c r="E389" s="132" t="s">
        <v>2225</v>
      </c>
      <c r="F389" s="132" t="s">
        <v>2226</v>
      </c>
      <c r="G389" s="132" t="s">
        <v>2158</v>
      </c>
      <c r="H389" s="132" t="s">
        <v>2194</v>
      </c>
      <c r="I389" s="132" t="s">
        <v>2227</v>
      </c>
      <c r="J389" s="133">
        <v>5</v>
      </c>
      <c r="K389" s="134">
        <f t="shared" si="18"/>
        <v>0.25</v>
      </c>
      <c r="L389" s="134">
        <v>20</v>
      </c>
      <c r="M389" s="134">
        <v>3.5</v>
      </c>
      <c r="N389" s="135">
        <f t="shared" si="19"/>
        <v>1.4285714285714286</v>
      </c>
      <c r="O389" s="136">
        <v>94.56</v>
      </c>
      <c r="P389" s="137">
        <f t="shared" si="20"/>
        <v>135.08571428571429</v>
      </c>
      <c r="Q389" s="132" t="s">
        <v>37</v>
      </c>
      <c r="R389" s="131" t="s">
        <v>28</v>
      </c>
      <c r="S389" s="131" t="s">
        <v>125</v>
      </c>
    </row>
    <row r="390" spans="1:19" ht="18" customHeight="1">
      <c r="A390" s="131" t="s">
        <v>2228</v>
      </c>
      <c r="B390" s="132" t="s">
        <v>2155</v>
      </c>
      <c r="C390" s="132" t="s">
        <v>2229</v>
      </c>
      <c r="D390" s="11" t="s">
        <v>59</v>
      </c>
      <c r="E390" s="132" t="s">
        <v>2230</v>
      </c>
      <c r="F390" s="132" t="s">
        <v>2231</v>
      </c>
      <c r="G390" s="132" t="s">
        <v>2232</v>
      </c>
      <c r="H390" s="132" t="s">
        <v>2179</v>
      </c>
      <c r="I390" s="132" t="s">
        <v>2233</v>
      </c>
      <c r="J390" s="133">
        <v>35</v>
      </c>
      <c r="K390" s="134">
        <f t="shared" si="18"/>
        <v>1.4</v>
      </c>
      <c r="L390" s="134">
        <v>25</v>
      </c>
      <c r="M390" s="134">
        <v>3</v>
      </c>
      <c r="N390" s="135">
        <f t="shared" si="19"/>
        <v>11.666666666666666</v>
      </c>
      <c r="O390" s="136">
        <v>94.56</v>
      </c>
      <c r="P390" s="137">
        <f t="shared" si="20"/>
        <v>1103.2</v>
      </c>
      <c r="Q390" s="132" t="s">
        <v>64</v>
      </c>
      <c r="R390" s="131" t="s">
        <v>28</v>
      </c>
      <c r="S390" s="131" t="s">
        <v>138</v>
      </c>
    </row>
    <row r="391" spans="1:19" ht="18" customHeight="1">
      <c r="A391" s="96" t="s">
        <v>2234</v>
      </c>
      <c r="B391" s="97" t="s">
        <v>2235</v>
      </c>
      <c r="C391" s="97" t="s">
        <v>2236</v>
      </c>
      <c r="D391" s="15" t="s">
        <v>519</v>
      </c>
      <c r="E391" s="97" t="s">
        <v>2237</v>
      </c>
      <c r="F391" s="97" t="s">
        <v>2238</v>
      </c>
      <c r="G391" s="97" t="s">
        <v>2239</v>
      </c>
      <c r="H391" s="97" t="s">
        <v>2240</v>
      </c>
      <c r="I391" s="97" t="s">
        <v>2241</v>
      </c>
      <c r="J391" s="98">
        <v>60</v>
      </c>
      <c r="K391" s="99">
        <f t="shared" si="18"/>
        <v>0.75</v>
      </c>
      <c r="L391" s="99">
        <v>80</v>
      </c>
      <c r="M391" s="99">
        <v>5</v>
      </c>
      <c r="N391" s="100">
        <f t="shared" si="19"/>
        <v>12</v>
      </c>
      <c r="O391" s="101">
        <v>94.56</v>
      </c>
      <c r="P391" s="102">
        <f t="shared" si="20"/>
        <v>1134.72</v>
      </c>
      <c r="Q391" s="97" t="s">
        <v>37</v>
      </c>
      <c r="R391" s="96" t="s">
        <v>85</v>
      </c>
      <c r="S391" s="96" t="s">
        <v>475</v>
      </c>
    </row>
    <row r="392" spans="1:19" ht="18" customHeight="1">
      <c r="A392" s="96" t="s">
        <v>2242</v>
      </c>
      <c r="B392" s="97" t="s">
        <v>2235</v>
      </c>
      <c r="C392" s="97" t="s">
        <v>2243</v>
      </c>
      <c r="D392" s="15" t="s">
        <v>519</v>
      </c>
      <c r="E392" s="97" t="s">
        <v>2239</v>
      </c>
      <c r="F392" s="97" t="s">
        <v>2244</v>
      </c>
      <c r="G392" s="97" t="s">
        <v>2245</v>
      </c>
      <c r="H392" s="97" t="s">
        <v>2245</v>
      </c>
      <c r="I392" s="97" t="s">
        <v>2246</v>
      </c>
      <c r="J392" s="98">
        <v>240</v>
      </c>
      <c r="K392" s="99">
        <f t="shared" si="18"/>
        <v>3</v>
      </c>
      <c r="L392" s="99">
        <v>80</v>
      </c>
      <c r="M392" s="99">
        <v>5</v>
      </c>
      <c r="N392" s="100">
        <f t="shared" si="19"/>
        <v>48</v>
      </c>
      <c r="O392" s="101">
        <v>94.56</v>
      </c>
      <c r="P392" s="102">
        <f t="shared" si="20"/>
        <v>4538.88</v>
      </c>
      <c r="Q392" s="97" t="s">
        <v>37</v>
      </c>
      <c r="R392" s="96" t="s">
        <v>85</v>
      </c>
      <c r="S392" s="96" t="s">
        <v>475</v>
      </c>
    </row>
    <row r="393" spans="1:19" ht="18" customHeight="1">
      <c r="A393" s="96" t="s">
        <v>2247</v>
      </c>
      <c r="B393" s="97" t="s">
        <v>2235</v>
      </c>
      <c r="C393" s="97" t="s">
        <v>2248</v>
      </c>
      <c r="D393" s="13" t="s">
        <v>81</v>
      </c>
      <c r="E393" s="97" t="s">
        <v>2249</v>
      </c>
      <c r="F393" s="97" t="s">
        <v>2250</v>
      </c>
      <c r="G393" s="97" t="s">
        <v>2251</v>
      </c>
      <c r="H393" s="97" t="s">
        <v>2251</v>
      </c>
      <c r="I393" s="97" t="s">
        <v>2252</v>
      </c>
      <c r="J393" s="98">
        <v>175</v>
      </c>
      <c r="K393" s="99">
        <f t="shared" si="18"/>
        <v>3.5</v>
      </c>
      <c r="L393" s="99">
        <v>50</v>
      </c>
      <c r="M393" s="99">
        <v>4.5</v>
      </c>
      <c r="N393" s="100">
        <f t="shared" si="19"/>
        <v>38.888888888888886</v>
      </c>
      <c r="O393" s="101">
        <v>94.56</v>
      </c>
      <c r="P393" s="102">
        <f t="shared" si="20"/>
        <v>3677.333333333333</v>
      </c>
      <c r="Q393" s="97" t="s">
        <v>37</v>
      </c>
      <c r="R393" s="96" t="s">
        <v>85</v>
      </c>
      <c r="S393" s="96" t="s">
        <v>86</v>
      </c>
    </row>
    <row r="394" spans="1:19" ht="18" customHeight="1">
      <c r="A394" s="96" t="s">
        <v>2253</v>
      </c>
      <c r="B394" s="97" t="s">
        <v>2235</v>
      </c>
      <c r="C394" s="97" t="s">
        <v>2254</v>
      </c>
      <c r="D394" s="13" t="s">
        <v>81</v>
      </c>
      <c r="E394" s="97" t="s">
        <v>2239</v>
      </c>
      <c r="F394" s="97" t="s">
        <v>2255</v>
      </c>
      <c r="G394" s="97" t="s">
        <v>2256</v>
      </c>
      <c r="H394" s="97" t="s">
        <v>2257</v>
      </c>
      <c r="I394" s="97" t="s">
        <v>2258</v>
      </c>
      <c r="J394" s="98">
        <v>700</v>
      </c>
      <c r="K394" s="99">
        <f t="shared" si="18"/>
        <v>14</v>
      </c>
      <c r="L394" s="99">
        <v>50</v>
      </c>
      <c r="M394" s="99">
        <v>4.5</v>
      </c>
      <c r="N394" s="100">
        <f t="shared" si="19"/>
        <v>155.55555555555554</v>
      </c>
      <c r="O394" s="101">
        <v>94.56</v>
      </c>
      <c r="P394" s="102">
        <f t="shared" si="20"/>
        <v>14709.333333333332</v>
      </c>
      <c r="Q394" s="97" t="s">
        <v>37</v>
      </c>
      <c r="R394" s="96" t="s">
        <v>85</v>
      </c>
      <c r="S394" s="96" t="s">
        <v>86</v>
      </c>
    </row>
    <row r="395" spans="1:19" ht="18" customHeight="1">
      <c r="A395" s="96" t="s">
        <v>2259</v>
      </c>
      <c r="B395" s="97" t="s">
        <v>2235</v>
      </c>
      <c r="C395" s="97" t="s">
        <v>2260</v>
      </c>
      <c r="D395" s="13" t="s">
        <v>81</v>
      </c>
      <c r="E395" s="97" t="s">
        <v>2239</v>
      </c>
      <c r="F395" s="97" t="s">
        <v>2261</v>
      </c>
      <c r="G395" s="97" t="s">
        <v>2262</v>
      </c>
      <c r="H395" s="97" t="s">
        <v>2262</v>
      </c>
      <c r="I395" s="97" t="s">
        <v>2252</v>
      </c>
      <c r="J395" s="98">
        <v>460</v>
      </c>
      <c r="K395" s="99">
        <f t="shared" si="18"/>
        <v>9.1999999999999993</v>
      </c>
      <c r="L395" s="99">
        <v>50</v>
      </c>
      <c r="M395" s="99">
        <v>4.5</v>
      </c>
      <c r="N395" s="100">
        <f t="shared" si="19"/>
        <v>102.22222222222223</v>
      </c>
      <c r="O395" s="101">
        <v>94.56</v>
      </c>
      <c r="P395" s="102">
        <f t="shared" si="20"/>
        <v>9666.133333333335</v>
      </c>
      <c r="Q395" s="97" t="s">
        <v>37</v>
      </c>
      <c r="R395" s="96" t="s">
        <v>85</v>
      </c>
      <c r="S395" s="96" t="s">
        <v>86</v>
      </c>
    </row>
    <row r="396" spans="1:19" ht="18" customHeight="1">
      <c r="A396" s="96" t="s">
        <v>2263</v>
      </c>
      <c r="B396" s="97" t="s">
        <v>2235</v>
      </c>
      <c r="C396" s="97" t="s">
        <v>2264</v>
      </c>
      <c r="D396" s="13" t="s">
        <v>81</v>
      </c>
      <c r="E396" s="97" t="s">
        <v>99</v>
      </c>
      <c r="F396" s="97" t="s">
        <v>2239</v>
      </c>
      <c r="G396" s="97" t="s">
        <v>2265</v>
      </c>
      <c r="H396" s="97" t="s">
        <v>2266</v>
      </c>
      <c r="I396" s="97" t="s">
        <v>2267</v>
      </c>
      <c r="J396" s="98">
        <v>350</v>
      </c>
      <c r="K396" s="99">
        <f t="shared" si="18"/>
        <v>7</v>
      </c>
      <c r="L396" s="99">
        <v>50</v>
      </c>
      <c r="M396" s="99">
        <v>4.5</v>
      </c>
      <c r="N396" s="100">
        <f t="shared" si="19"/>
        <v>77.777777777777771</v>
      </c>
      <c r="O396" s="101">
        <v>94.56</v>
      </c>
      <c r="P396" s="102">
        <f t="shared" si="20"/>
        <v>7354.6666666666661</v>
      </c>
      <c r="Q396" s="97" t="s">
        <v>37</v>
      </c>
      <c r="R396" s="96" t="s">
        <v>85</v>
      </c>
      <c r="S396" s="96" t="s">
        <v>86</v>
      </c>
    </row>
    <row r="397" spans="1:19" ht="18" customHeight="1">
      <c r="A397" s="96" t="s">
        <v>2268</v>
      </c>
      <c r="B397" s="97" t="s">
        <v>2235</v>
      </c>
      <c r="C397" s="97" t="s">
        <v>2269</v>
      </c>
      <c r="D397" s="13" t="s">
        <v>81</v>
      </c>
      <c r="E397" s="97" t="s">
        <v>2270</v>
      </c>
      <c r="F397" s="97" t="s">
        <v>2271</v>
      </c>
      <c r="G397" s="97" t="s">
        <v>2272</v>
      </c>
      <c r="H397" s="97" t="s">
        <v>2272</v>
      </c>
      <c r="I397" s="97" t="s">
        <v>2273</v>
      </c>
      <c r="J397" s="98">
        <v>440</v>
      </c>
      <c r="K397" s="99">
        <f t="shared" si="18"/>
        <v>8.8000000000000007</v>
      </c>
      <c r="L397" s="99">
        <v>50</v>
      </c>
      <c r="M397" s="99">
        <v>4.5</v>
      </c>
      <c r="N397" s="100">
        <f t="shared" si="19"/>
        <v>97.777777777777771</v>
      </c>
      <c r="O397" s="101">
        <v>94.56</v>
      </c>
      <c r="P397" s="102">
        <f t="shared" si="20"/>
        <v>9245.8666666666668</v>
      </c>
      <c r="Q397" s="97" t="s">
        <v>37</v>
      </c>
      <c r="R397" s="96" t="s">
        <v>85</v>
      </c>
      <c r="S397" s="96" t="s">
        <v>86</v>
      </c>
    </row>
    <row r="398" spans="1:19" ht="18" customHeight="1">
      <c r="A398" s="96" t="s">
        <v>2274</v>
      </c>
      <c r="B398" s="97" t="s">
        <v>2235</v>
      </c>
      <c r="C398" s="97" t="s">
        <v>2275</v>
      </c>
      <c r="D398" s="13" t="s">
        <v>81</v>
      </c>
      <c r="E398" s="97" t="s">
        <v>2249</v>
      </c>
      <c r="F398" s="97" t="s">
        <v>2276</v>
      </c>
      <c r="G398" s="97" t="s">
        <v>2277</v>
      </c>
      <c r="H398" s="97" t="s">
        <v>2278</v>
      </c>
      <c r="I398" s="97" t="s">
        <v>2252</v>
      </c>
      <c r="J398" s="98">
        <v>175</v>
      </c>
      <c r="K398" s="99">
        <f t="shared" si="18"/>
        <v>3.5</v>
      </c>
      <c r="L398" s="99">
        <v>50</v>
      </c>
      <c r="M398" s="99">
        <v>4.5</v>
      </c>
      <c r="N398" s="100">
        <f t="shared" si="19"/>
        <v>38.888888888888886</v>
      </c>
      <c r="O398" s="101">
        <v>94.56</v>
      </c>
      <c r="P398" s="102">
        <f t="shared" si="20"/>
        <v>3677.333333333333</v>
      </c>
      <c r="Q398" s="97" t="s">
        <v>37</v>
      </c>
      <c r="R398" s="96" t="s">
        <v>85</v>
      </c>
      <c r="S398" s="96" t="s">
        <v>86</v>
      </c>
    </row>
    <row r="399" spans="1:19" ht="18" customHeight="1">
      <c r="A399" s="96" t="s">
        <v>2279</v>
      </c>
      <c r="B399" s="97" t="s">
        <v>2235</v>
      </c>
      <c r="C399" s="97" t="s">
        <v>2280</v>
      </c>
      <c r="D399" s="11" t="s">
        <v>59</v>
      </c>
      <c r="E399" s="97" t="s">
        <v>2281</v>
      </c>
      <c r="F399" s="97" t="s">
        <v>1149</v>
      </c>
      <c r="G399" s="97" t="s">
        <v>2282</v>
      </c>
      <c r="H399" s="97" t="s">
        <v>2283</v>
      </c>
      <c r="I399" s="97" t="s">
        <v>2283</v>
      </c>
      <c r="J399" s="98">
        <v>55</v>
      </c>
      <c r="K399" s="99">
        <f t="shared" si="18"/>
        <v>2.2000000000000002</v>
      </c>
      <c r="L399" s="99">
        <v>25</v>
      </c>
      <c r="M399" s="99">
        <v>3</v>
      </c>
      <c r="N399" s="100">
        <f t="shared" si="19"/>
        <v>18.333333333333332</v>
      </c>
      <c r="O399" s="101">
        <v>94.56</v>
      </c>
      <c r="P399" s="102">
        <f t="shared" si="20"/>
        <v>1733.6</v>
      </c>
      <c r="Q399" s="97" t="s">
        <v>27</v>
      </c>
      <c r="R399" s="96" t="s">
        <v>28</v>
      </c>
      <c r="S399" s="96" t="s">
        <v>524</v>
      </c>
    </row>
    <row r="400" spans="1:19" ht="18" customHeight="1">
      <c r="A400" s="96" t="s">
        <v>2284</v>
      </c>
      <c r="B400" s="97" t="s">
        <v>2235</v>
      </c>
      <c r="C400" s="97" t="s">
        <v>2285</v>
      </c>
      <c r="D400" s="11" t="s">
        <v>59</v>
      </c>
      <c r="E400" s="97" t="s">
        <v>2286</v>
      </c>
      <c r="F400" s="97" t="s">
        <v>2287</v>
      </c>
      <c r="G400" s="97" t="s">
        <v>2288</v>
      </c>
      <c r="H400" s="97" t="s">
        <v>2289</v>
      </c>
      <c r="I400" s="97" t="s">
        <v>2290</v>
      </c>
      <c r="J400" s="98">
        <v>25</v>
      </c>
      <c r="K400" s="99">
        <f t="shared" si="18"/>
        <v>1</v>
      </c>
      <c r="L400" s="99">
        <v>25</v>
      </c>
      <c r="M400" s="99">
        <v>3</v>
      </c>
      <c r="N400" s="100">
        <f t="shared" si="19"/>
        <v>8.3333333333333339</v>
      </c>
      <c r="O400" s="101">
        <v>94.56</v>
      </c>
      <c r="P400" s="102">
        <f t="shared" si="20"/>
        <v>788.00000000000011</v>
      </c>
      <c r="Q400" s="97" t="s">
        <v>37</v>
      </c>
      <c r="R400" s="96" t="s">
        <v>28</v>
      </c>
      <c r="S400" s="96" t="s">
        <v>524</v>
      </c>
    </row>
    <row r="401" spans="1:19" ht="18" customHeight="1">
      <c r="A401" s="96" t="s">
        <v>2291</v>
      </c>
      <c r="B401" s="97" t="s">
        <v>2235</v>
      </c>
      <c r="C401" s="97" t="s">
        <v>2292</v>
      </c>
      <c r="D401" s="11" t="s">
        <v>59</v>
      </c>
      <c r="E401" s="97" t="s">
        <v>2293</v>
      </c>
      <c r="F401" s="97" t="s">
        <v>2294</v>
      </c>
      <c r="G401" s="97" t="s">
        <v>2295</v>
      </c>
      <c r="H401" s="97" t="s">
        <v>2293</v>
      </c>
      <c r="I401" s="97" t="s">
        <v>2296</v>
      </c>
      <c r="J401" s="98">
        <v>40</v>
      </c>
      <c r="K401" s="99">
        <f t="shared" si="18"/>
        <v>1.6</v>
      </c>
      <c r="L401" s="99">
        <v>25</v>
      </c>
      <c r="M401" s="99">
        <v>3</v>
      </c>
      <c r="N401" s="100">
        <f t="shared" si="19"/>
        <v>13.333333333333334</v>
      </c>
      <c r="O401" s="101">
        <v>94.56</v>
      </c>
      <c r="P401" s="102">
        <f t="shared" si="20"/>
        <v>1260.8000000000002</v>
      </c>
      <c r="Q401" s="97" t="s">
        <v>64</v>
      </c>
      <c r="R401" s="96" t="s">
        <v>28</v>
      </c>
      <c r="S401" s="96" t="s">
        <v>524</v>
      </c>
    </row>
    <row r="402" spans="1:19" ht="18" customHeight="1">
      <c r="A402" s="96" t="s">
        <v>2297</v>
      </c>
      <c r="B402" s="97" t="s">
        <v>2235</v>
      </c>
      <c r="C402" s="97" t="s">
        <v>2298</v>
      </c>
      <c r="D402" s="4" t="s">
        <v>22</v>
      </c>
      <c r="E402" s="97" t="s">
        <v>2299</v>
      </c>
      <c r="F402" s="97" t="s">
        <v>2300</v>
      </c>
      <c r="G402" s="97" t="s">
        <v>2301</v>
      </c>
      <c r="H402" s="97" t="s">
        <v>2301</v>
      </c>
      <c r="I402" s="97" t="s">
        <v>2302</v>
      </c>
      <c r="J402" s="98">
        <v>55</v>
      </c>
      <c r="K402" s="99">
        <f t="shared" si="18"/>
        <v>1.2222222222222223</v>
      </c>
      <c r="L402" s="99">
        <v>45</v>
      </c>
      <c r="M402" s="99">
        <v>4</v>
      </c>
      <c r="N402" s="100">
        <f t="shared" si="19"/>
        <v>13.75</v>
      </c>
      <c r="O402" s="101">
        <v>94.56</v>
      </c>
      <c r="P402" s="102">
        <f t="shared" si="20"/>
        <v>1300.2</v>
      </c>
      <c r="Q402" s="97" t="s">
        <v>37</v>
      </c>
      <c r="R402" s="96" t="s">
        <v>28</v>
      </c>
      <c r="S402" s="96" t="s">
        <v>125</v>
      </c>
    </row>
    <row r="403" spans="1:19" ht="18" customHeight="1">
      <c r="A403" s="96" t="s">
        <v>2303</v>
      </c>
      <c r="B403" s="97" t="s">
        <v>2235</v>
      </c>
      <c r="C403" s="97" t="s">
        <v>2304</v>
      </c>
      <c r="D403" s="12" t="s">
        <v>67</v>
      </c>
      <c r="E403" s="97" t="s">
        <v>2250</v>
      </c>
      <c r="F403" s="97" t="s">
        <v>2305</v>
      </c>
      <c r="G403" s="97" t="s">
        <v>2306</v>
      </c>
      <c r="H403" s="97" t="s">
        <v>2250</v>
      </c>
      <c r="I403" s="97" t="s">
        <v>2252</v>
      </c>
      <c r="J403" s="98">
        <v>40</v>
      </c>
      <c r="K403" s="99">
        <f t="shared" si="18"/>
        <v>1</v>
      </c>
      <c r="L403" s="99">
        <v>40</v>
      </c>
      <c r="M403" s="99">
        <v>3.5</v>
      </c>
      <c r="N403" s="100">
        <f t="shared" si="19"/>
        <v>11.428571428571429</v>
      </c>
      <c r="O403" s="101">
        <v>94.56</v>
      </c>
      <c r="P403" s="102">
        <f t="shared" si="20"/>
        <v>1080.6857142857143</v>
      </c>
      <c r="Q403" s="97" t="s">
        <v>37</v>
      </c>
      <c r="R403" s="96" t="s">
        <v>28</v>
      </c>
      <c r="S403" s="96" t="s">
        <v>222</v>
      </c>
    </row>
    <row r="404" spans="1:19" ht="18" customHeight="1">
      <c r="A404" s="96" t="s">
        <v>2307</v>
      </c>
      <c r="B404" s="97" t="s">
        <v>2235</v>
      </c>
      <c r="C404" s="97" t="s">
        <v>2308</v>
      </c>
      <c r="D404" s="12" t="s">
        <v>67</v>
      </c>
      <c r="E404" s="97" t="s">
        <v>2309</v>
      </c>
      <c r="F404" s="97" t="s">
        <v>2310</v>
      </c>
      <c r="G404" s="97" t="s">
        <v>2311</v>
      </c>
      <c r="H404" s="97" t="s">
        <v>2309</v>
      </c>
      <c r="I404" s="97" t="s">
        <v>2312</v>
      </c>
      <c r="J404" s="98">
        <v>20</v>
      </c>
      <c r="K404" s="99">
        <f t="shared" si="18"/>
        <v>0.5</v>
      </c>
      <c r="L404" s="99">
        <v>40</v>
      </c>
      <c r="M404" s="99">
        <v>3.5</v>
      </c>
      <c r="N404" s="100">
        <f t="shared" si="19"/>
        <v>5.7142857142857144</v>
      </c>
      <c r="O404" s="101">
        <v>94.56</v>
      </c>
      <c r="P404" s="102">
        <f t="shared" si="20"/>
        <v>540.34285714285716</v>
      </c>
      <c r="Q404" s="97" t="s">
        <v>37</v>
      </c>
      <c r="R404" s="96" t="s">
        <v>28</v>
      </c>
      <c r="S404" s="96" t="s">
        <v>222</v>
      </c>
    </row>
    <row r="405" spans="1:19" ht="18" customHeight="1">
      <c r="A405" s="96" t="s">
        <v>2313</v>
      </c>
      <c r="B405" s="97" t="s">
        <v>2235</v>
      </c>
      <c r="C405" s="97" t="s">
        <v>2314</v>
      </c>
      <c r="D405" s="4" t="s">
        <v>22</v>
      </c>
      <c r="E405" s="97" t="s">
        <v>2239</v>
      </c>
      <c r="F405" s="97" t="s">
        <v>2315</v>
      </c>
      <c r="G405" s="97" t="s">
        <v>2316</v>
      </c>
      <c r="H405" s="97" t="s">
        <v>2317</v>
      </c>
      <c r="I405" s="97" t="s">
        <v>2318</v>
      </c>
      <c r="J405" s="98">
        <v>160</v>
      </c>
      <c r="K405" s="99">
        <f t="shared" si="18"/>
        <v>3.5555555555555554</v>
      </c>
      <c r="L405" s="99">
        <v>45</v>
      </c>
      <c r="M405" s="99">
        <v>4</v>
      </c>
      <c r="N405" s="100">
        <f t="shared" si="19"/>
        <v>40</v>
      </c>
      <c r="O405" s="101">
        <v>94.56</v>
      </c>
      <c r="P405" s="102">
        <f t="shared" si="20"/>
        <v>3782.4</v>
      </c>
      <c r="Q405" s="97" t="s">
        <v>37</v>
      </c>
      <c r="R405" s="96" t="s">
        <v>28</v>
      </c>
      <c r="S405" s="96" t="s">
        <v>222</v>
      </c>
    </row>
    <row r="406" spans="1:19" ht="18" customHeight="1">
      <c r="A406" s="96" t="s">
        <v>2319</v>
      </c>
      <c r="B406" s="97" t="s">
        <v>2235</v>
      </c>
      <c r="C406" s="97" t="s">
        <v>2320</v>
      </c>
      <c r="D406" s="4" t="s">
        <v>22</v>
      </c>
      <c r="E406" s="97" t="s">
        <v>2270</v>
      </c>
      <c r="F406" s="97" t="s">
        <v>2281</v>
      </c>
      <c r="G406" s="97" t="s">
        <v>2321</v>
      </c>
      <c r="H406" s="97" t="s">
        <v>2322</v>
      </c>
      <c r="I406" s="97" t="s">
        <v>2323</v>
      </c>
      <c r="J406" s="98">
        <v>90</v>
      </c>
      <c r="K406" s="99">
        <f t="shared" si="18"/>
        <v>2</v>
      </c>
      <c r="L406" s="99">
        <v>45</v>
      </c>
      <c r="M406" s="99">
        <v>4</v>
      </c>
      <c r="N406" s="100">
        <f t="shared" si="19"/>
        <v>22.5</v>
      </c>
      <c r="O406" s="101">
        <v>94.56</v>
      </c>
      <c r="P406" s="102">
        <f t="shared" si="20"/>
        <v>2127.6</v>
      </c>
      <c r="Q406" s="97" t="s">
        <v>37</v>
      </c>
      <c r="R406" s="96" t="s">
        <v>28</v>
      </c>
      <c r="S406" s="96" t="s">
        <v>222</v>
      </c>
    </row>
    <row r="407" spans="1:19" ht="18" customHeight="1">
      <c r="A407" s="96" t="s">
        <v>2324</v>
      </c>
      <c r="B407" s="97" t="s">
        <v>2235</v>
      </c>
      <c r="C407" s="97" t="s">
        <v>2325</v>
      </c>
      <c r="D407" s="10" t="s">
        <v>45</v>
      </c>
      <c r="E407" s="97" t="s">
        <v>2326</v>
      </c>
      <c r="F407" s="97" t="s">
        <v>2327</v>
      </c>
      <c r="G407" s="97" t="s">
        <v>2239</v>
      </c>
      <c r="H407" s="97" t="s">
        <v>2239</v>
      </c>
      <c r="I407" s="97" t="s">
        <v>2328</v>
      </c>
      <c r="J407" s="98">
        <v>12</v>
      </c>
      <c r="K407" s="99">
        <f t="shared" si="18"/>
        <v>0.6</v>
      </c>
      <c r="L407" s="99">
        <v>20</v>
      </c>
      <c r="M407" s="99">
        <v>3.5</v>
      </c>
      <c r="N407" s="100">
        <f t="shared" si="19"/>
        <v>3.4285714285714284</v>
      </c>
      <c r="O407" s="101">
        <v>94.56</v>
      </c>
      <c r="P407" s="102">
        <f t="shared" si="20"/>
        <v>324.20571428571429</v>
      </c>
      <c r="Q407" s="97" t="s">
        <v>27</v>
      </c>
      <c r="R407" s="96" t="s">
        <v>28</v>
      </c>
      <c r="S407" s="96" t="s">
        <v>222</v>
      </c>
    </row>
    <row r="408" spans="1:19" ht="18" customHeight="1">
      <c r="A408" s="96" t="s">
        <v>2329</v>
      </c>
      <c r="B408" s="97" t="s">
        <v>2235</v>
      </c>
      <c r="C408" s="97" t="s">
        <v>2330</v>
      </c>
      <c r="D408" s="10" t="s">
        <v>45</v>
      </c>
      <c r="E408" s="97" t="s">
        <v>2331</v>
      </c>
      <c r="F408" s="97" t="s">
        <v>2332</v>
      </c>
      <c r="G408" s="97" t="s">
        <v>2270</v>
      </c>
      <c r="H408" s="97" t="s">
        <v>2270</v>
      </c>
      <c r="I408" s="97" t="s">
        <v>2333</v>
      </c>
      <c r="J408" s="98">
        <v>10</v>
      </c>
      <c r="K408" s="99">
        <f t="shared" si="18"/>
        <v>0.5</v>
      </c>
      <c r="L408" s="99">
        <v>20</v>
      </c>
      <c r="M408" s="99">
        <v>3.5</v>
      </c>
      <c r="N408" s="100">
        <f t="shared" si="19"/>
        <v>2.8571428571428572</v>
      </c>
      <c r="O408" s="101">
        <v>94.56</v>
      </c>
      <c r="P408" s="102">
        <f t="shared" si="20"/>
        <v>270.17142857142858</v>
      </c>
      <c r="Q408" s="97" t="s">
        <v>37</v>
      </c>
      <c r="R408" s="96" t="s">
        <v>28</v>
      </c>
      <c r="S408" s="96" t="s">
        <v>222</v>
      </c>
    </row>
    <row r="409" spans="1:19" ht="18" customHeight="1">
      <c r="A409" s="96" t="s">
        <v>2334</v>
      </c>
      <c r="B409" s="97" t="s">
        <v>2235</v>
      </c>
      <c r="C409" s="97" t="s">
        <v>2335</v>
      </c>
      <c r="D409" s="10" t="s">
        <v>45</v>
      </c>
      <c r="E409" s="97" t="s">
        <v>2336</v>
      </c>
      <c r="F409" s="97" t="s">
        <v>2337</v>
      </c>
      <c r="G409" s="97" t="s">
        <v>2261</v>
      </c>
      <c r="H409" s="97" t="s">
        <v>2261</v>
      </c>
      <c r="I409" s="97" t="s">
        <v>2338</v>
      </c>
      <c r="J409" s="98">
        <v>8</v>
      </c>
      <c r="K409" s="99">
        <f t="shared" si="18"/>
        <v>0.4</v>
      </c>
      <c r="L409" s="99">
        <v>20</v>
      </c>
      <c r="M409" s="99">
        <v>3.5</v>
      </c>
      <c r="N409" s="100">
        <f t="shared" si="19"/>
        <v>2.2857142857142856</v>
      </c>
      <c r="O409" s="101">
        <v>94.56</v>
      </c>
      <c r="P409" s="102">
        <f t="shared" si="20"/>
        <v>216.13714285714286</v>
      </c>
      <c r="Q409" s="97" t="s">
        <v>27</v>
      </c>
      <c r="R409" s="96" t="s">
        <v>28</v>
      </c>
      <c r="S409" s="96" t="s">
        <v>222</v>
      </c>
    </row>
    <row r="410" spans="1:19" ht="18" customHeight="1">
      <c r="A410" s="96" t="s">
        <v>2339</v>
      </c>
      <c r="B410" s="97" t="s">
        <v>2235</v>
      </c>
      <c r="C410" s="97" t="s">
        <v>2340</v>
      </c>
      <c r="D410" s="11" t="s">
        <v>59</v>
      </c>
      <c r="E410" s="97" t="s">
        <v>2341</v>
      </c>
      <c r="F410" s="97" t="s">
        <v>2342</v>
      </c>
      <c r="G410" s="97" t="s">
        <v>2343</v>
      </c>
      <c r="H410" s="97" t="s">
        <v>2344</v>
      </c>
      <c r="I410" s="97" t="s">
        <v>2345</v>
      </c>
      <c r="J410" s="98">
        <v>35</v>
      </c>
      <c r="K410" s="99">
        <f t="shared" si="18"/>
        <v>1.4</v>
      </c>
      <c r="L410" s="99">
        <v>25</v>
      </c>
      <c r="M410" s="99">
        <v>3</v>
      </c>
      <c r="N410" s="100">
        <f t="shared" si="19"/>
        <v>11.666666666666666</v>
      </c>
      <c r="O410" s="101">
        <v>94.56</v>
      </c>
      <c r="P410" s="102">
        <f t="shared" si="20"/>
        <v>1103.2</v>
      </c>
      <c r="Q410" s="97" t="s">
        <v>37</v>
      </c>
      <c r="R410" s="96" t="s">
        <v>28</v>
      </c>
      <c r="S410" s="96" t="s">
        <v>138</v>
      </c>
    </row>
    <row r="411" spans="1:19" ht="18" customHeight="1">
      <c r="A411" s="82" t="s">
        <v>2346</v>
      </c>
      <c r="B411" s="83" t="s">
        <v>2347</v>
      </c>
      <c r="C411" s="83" t="s">
        <v>2348</v>
      </c>
      <c r="D411" s="15" t="s">
        <v>519</v>
      </c>
      <c r="E411" s="83" t="s">
        <v>2349</v>
      </c>
      <c r="F411" s="83" t="s">
        <v>2350</v>
      </c>
      <c r="G411" s="83" t="s">
        <v>2351</v>
      </c>
      <c r="H411" s="83" t="s">
        <v>2352</v>
      </c>
      <c r="I411" s="83" t="s">
        <v>2353</v>
      </c>
      <c r="J411" s="84">
        <v>158</v>
      </c>
      <c r="K411" s="85">
        <f t="shared" si="18"/>
        <v>1.9750000000000001</v>
      </c>
      <c r="L411" s="85">
        <v>80</v>
      </c>
      <c r="M411" s="85">
        <v>5</v>
      </c>
      <c r="N411" s="86">
        <f t="shared" si="19"/>
        <v>31.6</v>
      </c>
      <c r="O411" s="87">
        <v>94.56</v>
      </c>
      <c r="P411" s="88">
        <f t="shared" si="20"/>
        <v>2988.096</v>
      </c>
      <c r="Q411" s="83" t="s">
        <v>37</v>
      </c>
      <c r="R411" s="82" t="s">
        <v>85</v>
      </c>
      <c r="S411" s="82" t="s">
        <v>781</v>
      </c>
    </row>
    <row r="412" spans="1:19" ht="18" customHeight="1">
      <c r="A412" s="82" t="s">
        <v>2354</v>
      </c>
      <c r="B412" s="83" t="s">
        <v>2347</v>
      </c>
      <c r="C412" s="83" t="s">
        <v>2355</v>
      </c>
      <c r="D412" s="15" t="s">
        <v>519</v>
      </c>
      <c r="E412" s="83" t="s">
        <v>2356</v>
      </c>
      <c r="F412" s="83" t="s">
        <v>2357</v>
      </c>
      <c r="G412" s="83" t="s">
        <v>2358</v>
      </c>
      <c r="H412" s="83" t="s">
        <v>2359</v>
      </c>
      <c r="I412" s="83" t="s">
        <v>2360</v>
      </c>
      <c r="J412" s="84">
        <v>140</v>
      </c>
      <c r="K412" s="85">
        <f t="shared" si="18"/>
        <v>1.75</v>
      </c>
      <c r="L412" s="85">
        <v>80</v>
      </c>
      <c r="M412" s="85">
        <v>5</v>
      </c>
      <c r="N412" s="86">
        <f t="shared" si="19"/>
        <v>28</v>
      </c>
      <c r="O412" s="87">
        <v>94.56</v>
      </c>
      <c r="P412" s="88">
        <f t="shared" si="20"/>
        <v>2647.6800000000003</v>
      </c>
      <c r="Q412" s="83" t="s">
        <v>37</v>
      </c>
      <c r="R412" s="82" t="s">
        <v>85</v>
      </c>
      <c r="S412" s="82" t="s">
        <v>781</v>
      </c>
    </row>
    <row r="413" spans="1:19" ht="18" customHeight="1">
      <c r="A413" s="82" t="s">
        <v>2361</v>
      </c>
      <c r="B413" s="83" t="s">
        <v>2347</v>
      </c>
      <c r="C413" s="83" t="s">
        <v>2362</v>
      </c>
      <c r="D413" s="13" t="s">
        <v>81</v>
      </c>
      <c r="E413" s="83" t="s">
        <v>2356</v>
      </c>
      <c r="F413" s="83" t="s">
        <v>2363</v>
      </c>
      <c r="G413" s="83" t="s">
        <v>2364</v>
      </c>
      <c r="H413" s="83" t="s">
        <v>2365</v>
      </c>
      <c r="I413" s="83" t="s">
        <v>2366</v>
      </c>
      <c r="J413" s="84">
        <v>225</v>
      </c>
      <c r="K413" s="85">
        <f t="shared" si="18"/>
        <v>4.5</v>
      </c>
      <c r="L413" s="85">
        <v>50</v>
      </c>
      <c r="M413" s="85">
        <v>4.5</v>
      </c>
      <c r="N413" s="86">
        <f t="shared" si="19"/>
        <v>50</v>
      </c>
      <c r="O413" s="87">
        <v>94.56</v>
      </c>
      <c r="P413" s="88">
        <f t="shared" si="20"/>
        <v>4728</v>
      </c>
      <c r="Q413" s="83" t="s">
        <v>37</v>
      </c>
      <c r="R413" s="82" t="s">
        <v>85</v>
      </c>
      <c r="S413" s="82" t="s">
        <v>86</v>
      </c>
    </row>
    <row r="414" spans="1:19" ht="18" customHeight="1">
      <c r="A414" s="82" t="s">
        <v>2367</v>
      </c>
      <c r="B414" s="83" t="s">
        <v>2347</v>
      </c>
      <c r="C414" s="83" t="s">
        <v>2368</v>
      </c>
      <c r="D414" s="13" t="s">
        <v>81</v>
      </c>
      <c r="E414" s="83" t="s">
        <v>2369</v>
      </c>
      <c r="F414" s="83" t="s">
        <v>2370</v>
      </c>
      <c r="G414" s="83" t="s">
        <v>2371</v>
      </c>
      <c r="H414" s="83" t="s">
        <v>2372</v>
      </c>
      <c r="I414" s="83" t="s">
        <v>2373</v>
      </c>
      <c r="J414" s="84">
        <v>135</v>
      </c>
      <c r="K414" s="85">
        <f t="shared" si="18"/>
        <v>2.7</v>
      </c>
      <c r="L414" s="85">
        <v>50</v>
      </c>
      <c r="M414" s="85">
        <v>4.5</v>
      </c>
      <c r="N414" s="86">
        <f t="shared" si="19"/>
        <v>30</v>
      </c>
      <c r="O414" s="87">
        <v>94.56</v>
      </c>
      <c r="P414" s="88">
        <f t="shared" si="20"/>
        <v>2836.8</v>
      </c>
      <c r="Q414" s="83" t="s">
        <v>37</v>
      </c>
      <c r="R414" s="82" t="s">
        <v>85</v>
      </c>
      <c r="S414" s="82" t="s">
        <v>86</v>
      </c>
    </row>
    <row r="415" spans="1:19" ht="18" customHeight="1">
      <c r="A415" s="82" t="s">
        <v>2374</v>
      </c>
      <c r="B415" s="83" t="s">
        <v>2347</v>
      </c>
      <c r="C415" s="83" t="s">
        <v>2375</v>
      </c>
      <c r="D415" s="13" t="s">
        <v>81</v>
      </c>
      <c r="E415" s="83" t="s">
        <v>2376</v>
      </c>
      <c r="F415" s="83" t="s">
        <v>2377</v>
      </c>
      <c r="G415" s="83" t="s">
        <v>2378</v>
      </c>
      <c r="H415" s="83" t="s">
        <v>2378</v>
      </c>
      <c r="I415" s="83" t="s">
        <v>2379</v>
      </c>
      <c r="J415" s="84">
        <v>95</v>
      </c>
      <c r="K415" s="85">
        <f t="shared" si="18"/>
        <v>1.9</v>
      </c>
      <c r="L415" s="85">
        <v>50</v>
      </c>
      <c r="M415" s="85">
        <v>4.5</v>
      </c>
      <c r="N415" s="86">
        <f t="shared" si="19"/>
        <v>21.111111111111111</v>
      </c>
      <c r="O415" s="87">
        <v>94.56</v>
      </c>
      <c r="P415" s="88">
        <f t="shared" si="20"/>
        <v>1996.2666666666667</v>
      </c>
      <c r="Q415" s="83" t="s">
        <v>37</v>
      </c>
      <c r="R415" s="82" t="s">
        <v>85</v>
      </c>
      <c r="S415" s="82" t="s">
        <v>86</v>
      </c>
    </row>
    <row r="416" spans="1:19" ht="18" customHeight="1">
      <c r="A416" s="82" t="s">
        <v>2380</v>
      </c>
      <c r="B416" s="83" t="s">
        <v>2347</v>
      </c>
      <c r="C416" s="83" t="s">
        <v>2381</v>
      </c>
      <c r="D416" s="13" t="s">
        <v>81</v>
      </c>
      <c r="E416" s="83" t="s">
        <v>2356</v>
      </c>
      <c r="F416" s="83" t="s">
        <v>2382</v>
      </c>
      <c r="G416" s="83" t="s">
        <v>2383</v>
      </c>
      <c r="H416" s="83" t="s">
        <v>2383</v>
      </c>
      <c r="I416" s="83" t="s">
        <v>2384</v>
      </c>
      <c r="J416" s="84">
        <v>170</v>
      </c>
      <c r="K416" s="85">
        <f t="shared" si="18"/>
        <v>3.4</v>
      </c>
      <c r="L416" s="85">
        <v>50</v>
      </c>
      <c r="M416" s="85">
        <v>4.5</v>
      </c>
      <c r="N416" s="86">
        <f t="shared" si="19"/>
        <v>37.777777777777779</v>
      </c>
      <c r="O416" s="87">
        <v>94.56</v>
      </c>
      <c r="P416" s="88">
        <f t="shared" si="20"/>
        <v>3572.2666666666669</v>
      </c>
      <c r="Q416" s="83" t="s">
        <v>37</v>
      </c>
      <c r="R416" s="82" t="s">
        <v>85</v>
      </c>
      <c r="S416" s="82" t="s">
        <v>86</v>
      </c>
    </row>
    <row r="417" spans="1:19" ht="18" customHeight="1">
      <c r="A417" s="82" t="s">
        <v>2385</v>
      </c>
      <c r="B417" s="83" t="s">
        <v>2347</v>
      </c>
      <c r="C417" s="83" t="s">
        <v>108</v>
      </c>
      <c r="D417" s="13" t="s">
        <v>81</v>
      </c>
      <c r="E417" s="83" t="s">
        <v>2356</v>
      </c>
      <c r="F417" s="83" t="s">
        <v>2386</v>
      </c>
      <c r="G417" s="83" t="s">
        <v>2387</v>
      </c>
      <c r="H417" s="83" t="s">
        <v>2388</v>
      </c>
      <c r="I417" s="83" t="s">
        <v>2360</v>
      </c>
      <c r="J417" s="84">
        <v>275</v>
      </c>
      <c r="K417" s="85">
        <f t="shared" si="18"/>
        <v>5.5</v>
      </c>
      <c r="L417" s="85">
        <v>50</v>
      </c>
      <c r="M417" s="85">
        <v>4.5</v>
      </c>
      <c r="N417" s="86">
        <f t="shared" si="19"/>
        <v>61.111111111111114</v>
      </c>
      <c r="O417" s="87">
        <v>94.56</v>
      </c>
      <c r="P417" s="88">
        <f t="shared" si="20"/>
        <v>5778.666666666667</v>
      </c>
      <c r="Q417" s="83" t="s">
        <v>37</v>
      </c>
      <c r="R417" s="82" t="s">
        <v>85</v>
      </c>
      <c r="S417" s="82" t="s">
        <v>86</v>
      </c>
    </row>
    <row r="418" spans="1:19" ht="18" customHeight="1">
      <c r="A418" s="82" t="s">
        <v>2389</v>
      </c>
      <c r="B418" s="83" t="s">
        <v>2347</v>
      </c>
      <c r="C418" s="83" t="s">
        <v>2390</v>
      </c>
      <c r="D418" s="11" t="s">
        <v>59</v>
      </c>
      <c r="E418" s="83" t="s">
        <v>2391</v>
      </c>
      <c r="F418" s="83" t="s">
        <v>2392</v>
      </c>
      <c r="G418" s="83" t="s">
        <v>2393</v>
      </c>
      <c r="H418" s="83" t="s">
        <v>2393</v>
      </c>
      <c r="I418" s="83" t="s">
        <v>2384</v>
      </c>
      <c r="J418" s="84">
        <v>90</v>
      </c>
      <c r="K418" s="85">
        <f t="shared" si="18"/>
        <v>3.6</v>
      </c>
      <c r="L418" s="85">
        <v>25</v>
      </c>
      <c r="M418" s="85">
        <v>3</v>
      </c>
      <c r="N418" s="86">
        <f t="shared" si="19"/>
        <v>30</v>
      </c>
      <c r="O418" s="87">
        <v>94.56</v>
      </c>
      <c r="P418" s="88">
        <f t="shared" si="20"/>
        <v>2836.8</v>
      </c>
      <c r="Q418" s="83" t="s">
        <v>64</v>
      </c>
      <c r="R418" s="82" t="s">
        <v>28</v>
      </c>
      <c r="S418" s="82" t="s">
        <v>524</v>
      </c>
    </row>
    <row r="419" spans="1:19" ht="18" customHeight="1">
      <c r="A419" s="82" t="s">
        <v>2394</v>
      </c>
      <c r="B419" s="83" t="s">
        <v>2347</v>
      </c>
      <c r="C419" s="83" t="s">
        <v>2395</v>
      </c>
      <c r="D419" s="11" t="s">
        <v>59</v>
      </c>
      <c r="E419" s="83" t="s">
        <v>2396</v>
      </c>
      <c r="F419" s="83" t="s">
        <v>2397</v>
      </c>
      <c r="G419" s="83" t="s">
        <v>2398</v>
      </c>
      <c r="H419" s="83" t="s">
        <v>2399</v>
      </c>
      <c r="I419" s="83" t="s">
        <v>2400</v>
      </c>
      <c r="J419" s="84">
        <v>50</v>
      </c>
      <c r="K419" s="85">
        <f t="shared" si="18"/>
        <v>2</v>
      </c>
      <c r="L419" s="85">
        <v>25</v>
      </c>
      <c r="M419" s="85">
        <v>3</v>
      </c>
      <c r="N419" s="86">
        <f t="shared" si="19"/>
        <v>16.666666666666668</v>
      </c>
      <c r="O419" s="87">
        <v>94.56</v>
      </c>
      <c r="P419" s="88">
        <f t="shared" si="20"/>
        <v>1576.0000000000002</v>
      </c>
      <c r="Q419" s="83" t="s">
        <v>64</v>
      </c>
      <c r="R419" s="82" t="s">
        <v>28</v>
      </c>
      <c r="S419" s="82" t="s">
        <v>524</v>
      </c>
    </row>
    <row r="420" spans="1:19" ht="18" customHeight="1">
      <c r="A420" s="82" t="s">
        <v>2401</v>
      </c>
      <c r="B420" s="83" t="s">
        <v>2347</v>
      </c>
      <c r="C420" s="83" t="s">
        <v>2402</v>
      </c>
      <c r="D420" s="11" t="s">
        <v>59</v>
      </c>
      <c r="E420" s="83" t="s">
        <v>2403</v>
      </c>
      <c r="F420" s="83" t="s">
        <v>2404</v>
      </c>
      <c r="G420" s="83" t="s">
        <v>2405</v>
      </c>
      <c r="H420" s="83" t="s">
        <v>2403</v>
      </c>
      <c r="I420" s="83" t="s">
        <v>2406</v>
      </c>
      <c r="J420" s="84">
        <v>35</v>
      </c>
      <c r="K420" s="85">
        <f t="shared" si="18"/>
        <v>1.4</v>
      </c>
      <c r="L420" s="85">
        <v>25</v>
      </c>
      <c r="M420" s="85">
        <v>3</v>
      </c>
      <c r="N420" s="86">
        <f t="shared" si="19"/>
        <v>11.666666666666666</v>
      </c>
      <c r="O420" s="87">
        <v>94.56</v>
      </c>
      <c r="P420" s="88">
        <f t="shared" si="20"/>
        <v>1103.2</v>
      </c>
      <c r="Q420" s="83" t="s">
        <v>64</v>
      </c>
      <c r="R420" s="82" t="s">
        <v>28</v>
      </c>
      <c r="S420" s="82" t="s">
        <v>524</v>
      </c>
    </row>
    <row r="421" spans="1:19" ht="18" customHeight="1">
      <c r="A421" s="82" t="s">
        <v>2407</v>
      </c>
      <c r="B421" s="83" t="s">
        <v>2347</v>
      </c>
      <c r="C421" s="83" t="s">
        <v>2408</v>
      </c>
      <c r="D421" s="4" t="s">
        <v>22</v>
      </c>
      <c r="E421" s="83" t="s">
        <v>2376</v>
      </c>
      <c r="F421" s="83" t="s">
        <v>2357</v>
      </c>
      <c r="G421" s="83" t="s">
        <v>2409</v>
      </c>
      <c r="H421" s="83" t="s">
        <v>2409</v>
      </c>
      <c r="I421" s="83" t="s">
        <v>2379</v>
      </c>
      <c r="J421" s="84">
        <v>85</v>
      </c>
      <c r="K421" s="85">
        <f t="shared" si="18"/>
        <v>1.8888888888888888</v>
      </c>
      <c r="L421" s="85">
        <v>45</v>
      </c>
      <c r="M421" s="85">
        <v>4</v>
      </c>
      <c r="N421" s="86">
        <f t="shared" si="19"/>
        <v>21.25</v>
      </c>
      <c r="O421" s="87">
        <v>94.56</v>
      </c>
      <c r="P421" s="88">
        <f t="shared" si="20"/>
        <v>2009.4</v>
      </c>
      <c r="Q421" s="83" t="s">
        <v>37</v>
      </c>
      <c r="R421" s="82" t="s">
        <v>28</v>
      </c>
      <c r="S421" s="82" t="s">
        <v>125</v>
      </c>
    </row>
    <row r="422" spans="1:19" ht="18" customHeight="1">
      <c r="A422" s="82" t="s">
        <v>2410</v>
      </c>
      <c r="B422" s="83" t="s">
        <v>2347</v>
      </c>
      <c r="C422" s="83" t="s">
        <v>2411</v>
      </c>
      <c r="D422" s="12" t="s">
        <v>67</v>
      </c>
      <c r="E422" s="83" t="s">
        <v>2376</v>
      </c>
      <c r="F422" s="83" t="s">
        <v>2412</v>
      </c>
      <c r="G422" s="83" t="s">
        <v>2413</v>
      </c>
      <c r="H422" s="83" t="s">
        <v>2413</v>
      </c>
      <c r="I422" s="83" t="s">
        <v>2379</v>
      </c>
      <c r="J422" s="84">
        <v>35</v>
      </c>
      <c r="K422" s="85">
        <f t="shared" si="18"/>
        <v>0.875</v>
      </c>
      <c r="L422" s="85">
        <v>40</v>
      </c>
      <c r="M422" s="85">
        <v>3.5</v>
      </c>
      <c r="N422" s="86">
        <f t="shared" si="19"/>
        <v>10</v>
      </c>
      <c r="O422" s="87">
        <v>94.56</v>
      </c>
      <c r="P422" s="88">
        <f t="shared" si="20"/>
        <v>945.6</v>
      </c>
      <c r="Q422" s="83" t="s">
        <v>27</v>
      </c>
      <c r="R422" s="82" t="s">
        <v>28</v>
      </c>
      <c r="S422" s="82" t="s">
        <v>222</v>
      </c>
    </row>
    <row r="423" spans="1:19" ht="18" customHeight="1">
      <c r="A423" s="82" t="s">
        <v>2414</v>
      </c>
      <c r="B423" s="83" t="s">
        <v>2347</v>
      </c>
      <c r="C423" s="83" t="s">
        <v>2415</v>
      </c>
      <c r="D423" s="12" t="s">
        <v>67</v>
      </c>
      <c r="E423" s="83" t="s">
        <v>2399</v>
      </c>
      <c r="F423" s="83" t="s">
        <v>2416</v>
      </c>
      <c r="G423" s="83" t="s">
        <v>2417</v>
      </c>
      <c r="H423" s="83" t="s">
        <v>2399</v>
      </c>
      <c r="I423" s="83" t="s">
        <v>2400</v>
      </c>
      <c r="J423" s="84">
        <v>45</v>
      </c>
      <c r="K423" s="85">
        <f t="shared" si="18"/>
        <v>1.125</v>
      </c>
      <c r="L423" s="85">
        <v>40</v>
      </c>
      <c r="M423" s="85">
        <v>3.5</v>
      </c>
      <c r="N423" s="86">
        <f t="shared" si="19"/>
        <v>12.857142857142858</v>
      </c>
      <c r="O423" s="87">
        <v>94.56</v>
      </c>
      <c r="P423" s="88">
        <f t="shared" si="20"/>
        <v>1215.7714285714287</v>
      </c>
      <c r="Q423" s="83" t="s">
        <v>27</v>
      </c>
      <c r="R423" s="82" t="s">
        <v>28</v>
      </c>
      <c r="S423" s="82" t="s">
        <v>222</v>
      </c>
    </row>
    <row r="424" spans="1:19" ht="18" customHeight="1">
      <c r="A424" s="82" t="s">
        <v>2418</v>
      </c>
      <c r="B424" s="83" t="s">
        <v>2347</v>
      </c>
      <c r="C424" s="83" t="s">
        <v>2419</v>
      </c>
      <c r="D424" s="4" t="s">
        <v>22</v>
      </c>
      <c r="E424" s="83" t="s">
        <v>2356</v>
      </c>
      <c r="F424" s="83" t="s">
        <v>2357</v>
      </c>
      <c r="G424" s="83" t="s">
        <v>2358</v>
      </c>
      <c r="H424" s="83" t="s">
        <v>2420</v>
      </c>
      <c r="I424" s="83" t="s">
        <v>2421</v>
      </c>
      <c r="J424" s="84">
        <v>140</v>
      </c>
      <c r="K424" s="85">
        <f t="shared" si="18"/>
        <v>3.1111111111111112</v>
      </c>
      <c r="L424" s="85">
        <v>45</v>
      </c>
      <c r="M424" s="85">
        <v>4</v>
      </c>
      <c r="N424" s="86">
        <f t="shared" si="19"/>
        <v>35</v>
      </c>
      <c r="O424" s="87">
        <v>94.56</v>
      </c>
      <c r="P424" s="88">
        <f t="shared" si="20"/>
        <v>3309.6</v>
      </c>
      <c r="Q424" s="83" t="s">
        <v>37</v>
      </c>
      <c r="R424" s="82" t="s">
        <v>28</v>
      </c>
      <c r="S424" s="82" t="s">
        <v>222</v>
      </c>
    </row>
    <row r="425" spans="1:19" ht="18" customHeight="1">
      <c r="A425" s="82" t="s">
        <v>2422</v>
      </c>
      <c r="B425" s="83" t="s">
        <v>2347</v>
      </c>
      <c r="C425" s="83" t="s">
        <v>2423</v>
      </c>
      <c r="D425" s="4" t="s">
        <v>22</v>
      </c>
      <c r="E425" s="83" t="s">
        <v>2356</v>
      </c>
      <c r="F425" s="83" t="s">
        <v>2424</v>
      </c>
      <c r="G425" s="83" t="s">
        <v>2425</v>
      </c>
      <c r="H425" s="83" t="s">
        <v>2426</v>
      </c>
      <c r="I425" s="83" t="s">
        <v>2379</v>
      </c>
      <c r="J425" s="84">
        <v>100</v>
      </c>
      <c r="K425" s="85">
        <f t="shared" si="18"/>
        <v>2.2222222222222223</v>
      </c>
      <c r="L425" s="85">
        <v>45</v>
      </c>
      <c r="M425" s="85">
        <v>4</v>
      </c>
      <c r="N425" s="86">
        <f t="shared" si="19"/>
        <v>25</v>
      </c>
      <c r="O425" s="87">
        <v>94.56</v>
      </c>
      <c r="P425" s="88">
        <f t="shared" si="20"/>
        <v>2364</v>
      </c>
      <c r="Q425" s="83" t="s">
        <v>27</v>
      </c>
      <c r="R425" s="82" t="s">
        <v>28</v>
      </c>
      <c r="S425" s="82" t="s">
        <v>222</v>
      </c>
    </row>
    <row r="426" spans="1:19" ht="18" customHeight="1">
      <c r="A426" s="82" t="s">
        <v>2427</v>
      </c>
      <c r="B426" s="83" t="s">
        <v>2347</v>
      </c>
      <c r="C426" s="83" t="s">
        <v>2428</v>
      </c>
      <c r="D426" s="10" t="s">
        <v>45</v>
      </c>
      <c r="E426" s="83" t="s">
        <v>2429</v>
      </c>
      <c r="F426" s="83" t="s">
        <v>2430</v>
      </c>
      <c r="G426" s="83" t="s">
        <v>2356</v>
      </c>
      <c r="H426" s="83" t="s">
        <v>2356</v>
      </c>
      <c r="I426" s="83" t="s">
        <v>2431</v>
      </c>
      <c r="J426" s="84">
        <v>12</v>
      </c>
      <c r="K426" s="85">
        <f t="shared" si="18"/>
        <v>0.6</v>
      </c>
      <c r="L426" s="85">
        <v>20</v>
      </c>
      <c r="M426" s="85">
        <v>3.5</v>
      </c>
      <c r="N426" s="86">
        <f t="shared" si="19"/>
        <v>3.4285714285714284</v>
      </c>
      <c r="O426" s="87">
        <v>94.56</v>
      </c>
      <c r="P426" s="88">
        <f t="shared" si="20"/>
        <v>324.20571428571429</v>
      </c>
      <c r="Q426" s="83" t="s">
        <v>37</v>
      </c>
      <c r="R426" s="82" t="s">
        <v>85</v>
      </c>
      <c r="S426" s="82" t="s">
        <v>222</v>
      </c>
    </row>
    <row r="427" spans="1:19" ht="18" customHeight="1">
      <c r="A427" s="82" t="s">
        <v>2432</v>
      </c>
      <c r="B427" s="83" t="s">
        <v>2347</v>
      </c>
      <c r="C427" s="83" t="s">
        <v>2433</v>
      </c>
      <c r="D427" s="10" t="s">
        <v>45</v>
      </c>
      <c r="E427" s="83" t="s">
        <v>2434</v>
      </c>
      <c r="F427" s="83" t="s">
        <v>2435</v>
      </c>
      <c r="G427" s="83" t="s">
        <v>2357</v>
      </c>
      <c r="H427" s="83" t="s">
        <v>2436</v>
      </c>
      <c r="I427" s="83" t="s">
        <v>2436</v>
      </c>
      <c r="J427" s="84">
        <v>10</v>
      </c>
      <c r="K427" s="85">
        <f t="shared" si="18"/>
        <v>0.5</v>
      </c>
      <c r="L427" s="85">
        <v>20</v>
      </c>
      <c r="M427" s="85">
        <v>3.5</v>
      </c>
      <c r="N427" s="86">
        <f t="shared" si="19"/>
        <v>2.8571428571428572</v>
      </c>
      <c r="O427" s="87">
        <v>94.56</v>
      </c>
      <c r="P427" s="88">
        <f t="shared" si="20"/>
        <v>270.17142857142858</v>
      </c>
      <c r="Q427" s="83" t="s">
        <v>27</v>
      </c>
      <c r="R427" s="82" t="s">
        <v>28</v>
      </c>
      <c r="S427" s="82" t="s">
        <v>222</v>
      </c>
    </row>
    <row r="428" spans="1:19" ht="18" customHeight="1">
      <c r="A428" s="82" t="s">
        <v>2437</v>
      </c>
      <c r="B428" s="83" t="s">
        <v>2347</v>
      </c>
      <c r="C428" s="83" t="s">
        <v>2438</v>
      </c>
      <c r="D428" s="11" t="s">
        <v>59</v>
      </c>
      <c r="E428" s="83" t="s">
        <v>2439</v>
      </c>
      <c r="F428" s="83" t="s">
        <v>2440</v>
      </c>
      <c r="G428" s="83" t="s">
        <v>2441</v>
      </c>
      <c r="H428" s="83" t="s">
        <v>2442</v>
      </c>
      <c r="I428" s="83" t="s">
        <v>2443</v>
      </c>
      <c r="J428" s="84">
        <v>60</v>
      </c>
      <c r="K428" s="85">
        <f t="shared" si="18"/>
        <v>2.4</v>
      </c>
      <c r="L428" s="85">
        <v>25</v>
      </c>
      <c r="M428" s="85">
        <v>3</v>
      </c>
      <c r="N428" s="86">
        <f t="shared" si="19"/>
        <v>20</v>
      </c>
      <c r="O428" s="87">
        <v>94.56</v>
      </c>
      <c r="P428" s="88">
        <f t="shared" si="20"/>
        <v>1891.2</v>
      </c>
      <c r="Q428" s="83" t="s">
        <v>27</v>
      </c>
      <c r="R428" s="82" t="s">
        <v>28</v>
      </c>
      <c r="S428" s="82" t="s">
        <v>138</v>
      </c>
    </row>
    <row r="429" spans="1:19" ht="18" customHeight="1">
      <c r="A429" s="89" t="s">
        <v>2444</v>
      </c>
      <c r="B429" s="90" t="s">
        <v>2445</v>
      </c>
      <c r="C429" s="90" t="s">
        <v>2446</v>
      </c>
      <c r="D429" s="13" t="s">
        <v>81</v>
      </c>
      <c r="E429" s="90" t="s">
        <v>2447</v>
      </c>
      <c r="F429" s="90" t="s">
        <v>2448</v>
      </c>
      <c r="G429" s="90" t="s">
        <v>2449</v>
      </c>
      <c r="H429" s="90" t="s">
        <v>2450</v>
      </c>
      <c r="I429" s="90" t="s">
        <v>2451</v>
      </c>
      <c r="J429" s="91">
        <v>120</v>
      </c>
      <c r="K429" s="92">
        <f t="shared" si="18"/>
        <v>2.4</v>
      </c>
      <c r="L429" s="92">
        <v>50</v>
      </c>
      <c r="M429" s="92">
        <v>4.5</v>
      </c>
      <c r="N429" s="93">
        <f t="shared" si="19"/>
        <v>26.666666666666668</v>
      </c>
      <c r="O429" s="94">
        <v>94.56</v>
      </c>
      <c r="P429" s="95">
        <f t="shared" si="20"/>
        <v>2521.6000000000004</v>
      </c>
      <c r="Q429" s="90" t="s">
        <v>64</v>
      </c>
      <c r="R429" s="89" t="s">
        <v>28</v>
      </c>
      <c r="S429" s="89" t="s">
        <v>86</v>
      </c>
    </row>
    <row r="430" spans="1:19" ht="18" customHeight="1">
      <c r="A430" s="89" t="s">
        <v>2452</v>
      </c>
      <c r="B430" s="90" t="s">
        <v>2445</v>
      </c>
      <c r="C430" s="90" t="s">
        <v>2453</v>
      </c>
      <c r="D430" s="13" t="s">
        <v>81</v>
      </c>
      <c r="E430" s="90" t="s">
        <v>2447</v>
      </c>
      <c r="F430" s="90" t="s">
        <v>2454</v>
      </c>
      <c r="G430" s="90" t="s">
        <v>2455</v>
      </c>
      <c r="H430" s="90" t="s">
        <v>2456</v>
      </c>
      <c r="I430" s="90" t="s">
        <v>617</v>
      </c>
      <c r="J430" s="91">
        <v>110</v>
      </c>
      <c r="K430" s="92">
        <f t="shared" si="18"/>
        <v>2.2000000000000002</v>
      </c>
      <c r="L430" s="92">
        <v>50</v>
      </c>
      <c r="M430" s="92">
        <v>4.5</v>
      </c>
      <c r="N430" s="93">
        <f t="shared" si="19"/>
        <v>24.444444444444443</v>
      </c>
      <c r="O430" s="94">
        <v>94.56</v>
      </c>
      <c r="P430" s="95">
        <f t="shared" si="20"/>
        <v>2311.4666666666667</v>
      </c>
      <c r="Q430" s="90" t="s">
        <v>27</v>
      </c>
      <c r="R430" s="89" t="s">
        <v>85</v>
      </c>
      <c r="S430" s="89" t="s">
        <v>86</v>
      </c>
    </row>
    <row r="431" spans="1:19" ht="18" customHeight="1">
      <c r="A431" s="89" t="s">
        <v>2457</v>
      </c>
      <c r="B431" s="90" t="s">
        <v>2445</v>
      </c>
      <c r="C431" s="90" t="s">
        <v>2458</v>
      </c>
      <c r="D431" s="13" t="s">
        <v>81</v>
      </c>
      <c r="E431" s="90" t="s">
        <v>2447</v>
      </c>
      <c r="F431" s="90" t="s">
        <v>2459</v>
      </c>
      <c r="G431" s="90" t="s">
        <v>2460</v>
      </c>
      <c r="H431" s="90" t="s">
        <v>2461</v>
      </c>
      <c r="I431" s="90" t="s">
        <v>2462</v>
      </c>
      <c r="J431" s="91">
        <v>170</v>
      </c>
      <c r="K431" s="92">
        <f t="shared" si="18"/>
        <v>3.4</v>
      </c>
      <c r="L431" s="92">
        <v>50</v>
      </c>
      <c r="M431" s="92">
        <v>4.5</v>
      </c>
      <c r="N431" s="93">
        <f t="shared" si="19"/>
        <v>37.777777777777779</v>
      </c>
      <c r="O431" s="94">
        <v>94.56</v>
      </c>
      <c r="P431" s="95">
        <f t="shared" si="20"/>
        <v>3572.2666666666669</v>
      </c>
      <c r="Q431" s="90" t="s">
        <v>27</v>
      </c>
      <c r="R431" s="89" t="s">
        <v>85</v>
      </c>
      <c r="S431" s="89" t="s">
        <v>86</v>
      </c>
    </row>
    <row r="432" spans="1:19" ht="18" customHeight="1">
      <c r="A432" s="89" t="s">
        <v>2463</v>
      </c>
      <c r="B432" s="90" t="s">
        <v>2445</v>
      </c>
      <c r="C432" s="90" t="s">
        <v>2464</v>
      </c>
      <c r="D432" s="11" t="s">
        <v>59</v>
      </c>
      <c r="E432" s="90" t="s">
        <v>2465</v>
      </c>
      <c r="F432" s="90" t="s">
        <v>2466</v>
      </c>
      <c r="G432" s="90" t="s">
        <v>2467</v>
      </c>
      <c r="H432" s="90" t="s">
        <v>2468</v>
      </c>
      <c r="I432" s="90" t="s">
        <v>2451</v>
      </c>
      <c r="J432" s="91">
        <v>60</v>
      </c>
      <c r="K432" s="92">
        <f t="shared" si="18"/>
        <v>2.4</v>
      </c>
      <c r="L432" s="92">
        <v>25</v>
      </c>
      <c r="M432" s="92">
        <v>3</v>
      </c>
      <c r="N432" s="93">
        <f t="shared" si="19"/>
        <v>20</v>
      </c>
      <c r="O432" s="94">
        <v>94.56</v>
      </c>
      <c r="P432" s="95">
        <f t="shared" si="20"/>
        <v>1891.2</v>
      </c>
      <c r="Q432" s="90" t="s">
        <v>64</v>
      </c>
      <c r="R432" s="89" t="s">
        <v>28</v>
      </c>
      <c r="S432" s="89" t="s">
        <v>524</v>
      </c>
    </row>
    <row r="433" spans="1:19" ht="18" customHeight="1">
      <c r="A433" s="89" t="s">
        <v>2469</v>
      </c>
      <c r="B433" s="90" t="s">
        <v>2445</v>
      </c>
      <c r="C433" s="90" t="s">
        <v>2470</v>
      </c>
      <c r="D433" s="11" t="s">
        <v>59</v>
      </c>
      <c r="E433" s="90" t="s">
        <v>2471</v>
      </c>
      <c r="F433" s="90" t="s">
        <v>2472</v>
      </c>
      <c r="G433" s="90" t="s">
        <v>2473</v>
      </c>
      <c r="H433" s="90" t="s">
        <v>2474</v>
      </c>
      <c r="I433" s="90" t="s">
        <v>2475</v>
      </c>
      <c r="J433" s="91">
        <v>45</v>
      </c>
      <c r="K433" s="92">
        <f t="shared" si="18"/>
        <v>1.8</v>
      </c>
      <c r="L433" s="92">
        <v>25</v>
      </c>
      <c r="M433" s="92">
        <v>3</v>
      </c>
      <c r="N433" s="93">
        <f t="shared" si="19"/>
        <v>15</v>
      </c>
      <c r="O433" s="94">
        <v>94.56</v>
      </c>
      <c r="P433" s="95">
        <f t="shared" si="20"/>
        <v>1418.4</v>
      </c>
      <c r="Q433" s="90" t="s">
        <v>64</v>
      </c>
      <c r="R433" s="89" t="s">
        <v>28</v>
      </c>
      <c r="S433" s="89" t="s">
        <v>524</v>
      </c>
    </row>
    <row r="434" spans="1:19" ht="18" customHeight="1">
      <c r="A434" s="89" t="s">
        <v>2476</v>
      </c>
      <c r="B434" s="90" t="s">
        <v>2445</v>
      </c>
      <c r="C434" s="90" t="s">
        <v>2477</v>
      </c>
      <c r="D434" s="11" t="s">
        <v>59</v>
      </c>
      <c r="E434" s="90" t="s">
        <v>2478</v>
      </c>
      <c r="F434" s="90" t="s">
        <v>2479</v>
      </c>
      <c r="G434" s="90" t="s">
        <v>2480</v>
      </c>
      <c r="H434" s="90" t="s">
        <v>2481</v>
      </c>
      <c r="I434" s="90" t="s">
        <v>2482</v>
      </c>
      <c r="J434" s="91">
        <v>25</v>
      </c>
      <c r="K434" s="92">
        <f t="shared" si="18"/>
        <v>1</v>
      </c>
      <c r="L434" s="92">
        <v>25</v>
      </c>
      <c r="M434" s="92">
        <v>3</v>
      </c>
      <c r="N434" s="93">
        <f t="shared" si="19"/>
        <v>8.3333333333333339</v>
      </c>
      <c r="O434" s="94">
        <v>94.56</v>
      </c>
      <c r="P434" s="95">
        <f t="shared" si="20"/>
        <v>788.00000000000011</v>
      </c>
      <c r="Q434" s="90" t="s">
        <v>64</v>
      </c>
      <c r="R434" s="89" t="s">
        <v>28</v>
      </c>
      <c r="S434" s="89" t="s">
        <v>524</v>
      </c>
    </row>
    <row r="435" spans="1:19" ht="18" customHeight="1">
      <c r="A435" s="89" t="s">
        <v>2483</v>
      </c>
      <c r="B435" s="90" t="s">
        <v>2445</v>
      </c>
      <c r="C435" s="90" t="s">
        <v>2484</v>
      </c>
      <c r="D435" s="11" t="s">
        <v>59</v>
      </c>
      <c r="E435" s="90" t="s">
        <v>2485</v>
      </c>
      <c r="F435" s="90" t="s">
        <v>2486</v>
      </c>
      <c r="G435" s="90" t="s">
        <v>2487</v>
      </c>
      <c r="H435" s="90" t="s">
        <v>2488</v>
      </c>
      <c r="I435" s="90" t="s">
        <v>2489</v>
      </c>
      <c r="J435" s="91">
        <v>35</v>
      </c>
      <c r="K435" s="92">
        <f t="shared" si="18"/>
        <v>1.4</v>
      </c>
      <c r="L435" s="92">
        <v>25</v>
      </c>
      <c r="M435" s="92">
        <v>3</v>
      </c>
      <c r="N435" s="93">
        <f t="shared" si="19"/>
        <v>11.666666666666666</v>
      </c>
      <c r="O435" s="94">
        <v>94.56</v>
      </c>
      <c r="P435" s="95">
        <f t="shared" si="20"/>
        <v>1103.2</v>
      </c>
      <c r="Q435" s="90" t="s">
        <v>64</v>
      </c>
      <c r="R435" s="89" t="s">
        <v>28</v>
      </c>
      <c r="S435" s="89" t="s">
        <v>524</v>
      </c>
    </row>
    <row r="436" spans="1:19" ht="18" customHeight="1">
      <c r="A436" s="89" t="s">
        <v>2490</v>
      </c>
      <c r="B436" s="90" t="s">
        <v>2445</v>
      </c>
      <c r="C436" s="90" t="s">
        <v>2491</v>
      </c>
      <c r="D436" s="4" t="s">
        <v>22</v>
      </c>
      <c r="E436" s="90" t="s">
        <v>2447</v>
      </c>
      <c r="F436" s="90" t="s">
        <v>2454</v>
      </c>
      <c r="G436" s="90" t="s">
        <v>2492</v>
      </c>
      <c r="H436" s="90" t="s">
        <v>2456</v>
      </c>
      <c r="I436" s="90" t="s">
        <v>2475</v>
      </c>
      <c r="J436" s="91">
        <v>90</v>
      </c>
      <c r="K436" s="92">
        <f t="shared" si="18"/>
        <v>2</v>
      </c>
      <c r="L436" s="92">
        <v>45</v>
      </c>
      <c r="M436" s="92">
        <v>4</v>
      </c>
      <c r="N436" s="93">
        <f t="shared" si="19"/>
        <v>22.5</v>
      </c>
      <c r="O436" s="94">
        <v>94.56</v>
      </c>
      <c r="P436" s="95">
        <f t="shared" si="20"/>
        <v>2127.6</v>
      </c>
      <c r="Q436" s="90" t="s">
        <v>27</v>
      </c>
      <c r="R436" s="89" t="s">
        <v>28</v>
      </c>
      <c r="S436" s="89" t="s">
        <v>125</v>
      </c>
    </row>
    <row r="437" spans="1:19" ht="18" customHeight="1">
      <c r="A437" s="89" t="s">
        <v>2493</v>
      </c>
      <c r="B437" s="90" t="s">
        <v>2445</v>
      </c>
      <c r="C437" s="90" t="s">
        <v>2494</v>
      </c>
      <c r="D437" s="12" t="s">
        <v>67</v>
      </c>
      <c r="E437" s="90" t="s">
        <v>2495</v>
      </c>
      <c r="F437" s="90" t="s">
        <v>2496</v>
      </c>
      <c r="G437" s="90" t="s">
        <v>2497</v>
      </c>
      <c r="H437" s="90" t="s">
        <v>2498</v>
      </c>
      <c r="I437" s="90" t="s">
        <v>2451</v>
      </c>
      <c r="J437" s="91">
        <v>30</v>
      </c>
      <c r="K437" s="92">
        <f t="shared" si="18"/>
        <v>0.75</v>
      </c>
      <c r="L437" s="92">
        <v>40</v>
      </c>
      <c r="M437" s="92">
        <v>3.5</v>
      </c>
      <c r="N437" s="93">
        <f t="shared" si="19"/>
        <v>8.5714285714285712</v>
      </c>
      <c r="O437" s="94">
        <v>94.56</v>
      </c>
      <c r="P437" s="95">
        <f t="shared" si="20"/>
        <v>810.51428571428573</v>
      </c>
      <c r="Q437" s="90" t="s">
        <v>27</v>
      </c>
      <c r="R437" s="89" t="s">
        <v>28</v>
      </c>
      <c r="S437" s="89" t="s">
        <v>222</v>
      </c>
    </row>
    <row r="438" spans="1:19" ht="18" customHeight="1">
      <c r="A438" s="89" t="s">
        <v>2499</v>
      </c>
      <c r="B438" s="90" t="s">
        <v>2445</v>
      </c>
      <c r="C438" s="90" t="s">
        <v>2500</v>
      </c>
      <c r="D438" s="12" t="s">
        <v>67</v>
      </c>
      <c r="E438" s="90" t="s">
        <v>2071</v>
      </c>
      <c r="F438" s="90" t="s">
        <v>2471</v>
      </c>
      <c r="G438" s="90" t="s">
        <v>2501</v>
      </c>
      <c r="H438" s="90" t="s">
        <v>2474</v>
      </c>
      <c r="I438" s="90" t="s">
        <v>2475</v>
      </c>
      <c r="J438" s="91">
        <v>40</v>
      </c>
      <c r="K438" s="92">
        <f t="shared" si="18"/>
        <v>1</v>
      </c>
      <c r="L438" s="92">
        <v>40</v>
      </c>
      <c r="M438" s="92">
        <v>3.5</v>
      </c>
      <c r="N438" s="93">
        <f t="shared" si="19"/>
        <v>11.428571428571429</v>
      </c>
      <c r="O438" s="94">
        <v>94.56</v>
      </c>
      <c r="P438" s="95">
        <f t="shared" si="20"/>
        <v>1080.6857142857143</v>
      </c>
      <c r="Q438" s="90" t="s">
        <v>27</v>
      </c>
      <c r="R438" s="89" t="s">
        <v>28</v>
      </c>
      <c r="S438" s="89" t="s">
        <v>222</v>
      </c>
    </row>
    <row r="439" spans="1:19" ht="18" customHeight="1">
      <c r="A439" s="89" t="s">
        <v>2502</v>
      </c>
      <c r="B439" s="90" t="s">
        <v>2445</v>
      </c>
      <c r="C439" s="90" t="s">
        <v>2503</v>
      </c>
      <c r="D439" s="11" t="s">
        <v>59</v>
      </c>
      <c r="E439" s="90" t="s">
        <v>2504</v>
      </c>
      <c r="F439" s="90" t="s">
        <v>2505</v>
      </c>
      <c r="G439" s="90" t="s">
        <v>2506</v>
      </c>
      <c r="H439" s="90" t="s">
        <v>2481</v>
      </c>
      <c r="I439" s="90" t="s">
        <v>2507</v>
      </c>
      <c r="J439" s="91">
        <v>30</v>
      </c>
      <c r="K439" s="92">
        <f t="shared" si="18"/>
        <v>1.2</v>
      </c>
      <c r="L439" s="92">
        <v>25</v>
      </c>
      <c r="M439" s="92">
        <v>3</v>
      </c>
      <c r="N439" s="93">
        <f t="shared" si="19"/>
        <v>10</v>
      </c>
      <c r="O439" s="94">
        <v>94.56</v>
      </c>
      <c r="P439" s="95">
        <f t="shared" si="20"/>
        <v>945.6</v>
      </c>
      <c r="Q439" s="90" t="s">
        <v>27</v>
      </c>
      <c r="R439" s="89" t="s">
        <v>28</v>
      </c>
      <c r="S439" s="89" t="s">
        <v>222</v>
      </c>
    </row>
    <row r="440" spans="1:19" ht="18" customHeight="1">
      <c r="A440" s="89" t="s">
        <v>2508</v>
      </c>
      <c r="B440" s="90" t="s">
        <v>2445</v>
      </c>
      <c r="C440" s="90" t="s">
        <v>2509</v>
      </c>
      <c r="D440" s="4" t="s">
        <v>22</v>
      </c>
      <c r="E440" s="90" t="s">
        <v>2447</v>
      </c>
      <c r="F440" s="90" t="s">
        <v>2071</v>
      </c>
      <c r="G440" s="90" t="s">
        <v>2510</v>
      </c>
      <c r="H440" s="90" t="s">
        <v>2511</v>
      </c>
      <c r="I440" s="90" t="s">
        <v>2475</v>
      </c>
      <c r="J440" s="91">
        <v>50</v>
      </c>
      <c r="K440" s="92">
        <f t="shared" si="18"/>
        <v>1.1111111111111112</v>
      </c>
      <c r="L440" s="92">
        <v>45</v>
      </c>
      <c r="M440" s="92">
        <v>4</v>
      </c>
      <c r="N440" s="93">
        <f t="shared" si="19"/>
        <v>12.5</v>
      </c>
      <c r="O440" s="94">
        <v>94.56</v>
      </c>
      <c r="P440" s="95">
        <f t="shared" si="20"/>
        <v>1182</v>
      </c>
      <c r="Q440" s="90" t="s">
        <v>27</v>
      </c>
      <c r="R440" s="89" t="s">
        <v>28</v>
      </c>
      <c r="S440" s="89" t="s">
        <v>222</v>
      </c>
    </row>
    <row r="441" spans="1:19" ht="18" customHeight="1">
      <c r="A441" s="89" t="s">
        <v>2512</v>
      </c>
      <c r="B441" s="90" t="s">
        <v>2445</v>
      </c>
      <c r="C441" s="90" t="s">
        <v>2513</v>
      </c>
      <c r="D441" s="4" t="s">
        <v>22</v>
      </c>
      <c r="E441" s="90" t="s">
        <v>2514</v>
      </c>
      <c r="F441" s="90" t="s">
        <v>2459</v>
      </c>
      <c r="G441" s="90" t="s">
        <v>2515</v>
      </c>
      <c r="H441" s="90" t="s">
        <v>2516</v>
      </c>
      <c r="I441" s="90" t="s">
        <v>2489</v>
      </c>
      <c r="J441" s="91">
        <v>55</v>
      </c>
      <c r="K441" s="92">
        <f t="shared" si="18"/>
        <v>1.2222222222222223</v>
      </c>
      <c r="L441" s="92">
        <v>45</v>
      </c>
      <c r="M441" s="92">
        <v>4</v>
      </c>
      <c r="N441" s="93">
        <f t="shared" si="19"/>
        <v>13.75</v>
      </c>
      <c r="O441" s="94">
        <v>94.56</v>
      </c>
      <c r="P441" s="95">
        <f t="shared" si="20"/>
        <v>1300.2</v>
      </c>
      <c r="Q441" s="90" t="s">
        <v>27</v>
      </c>
      <c r="R441" s="89" t="s">
        <v>28</v>
      </c>
      <c r="S441" s="89" t="s">
        <v>222</v>
      </c>
    </row>
    <row r="442" spans="1:19" ht="18" customHeight="1">
      <c r="A442" s="89" t="s">
        <v>2517</v>
      </c>
      <c r="B442" s="90" t="s">
        <v>2445</v>
      </c>
      <c r="C442" s="90" t="s">
        <v>2518</v>
      </c>
      <c r="D442" s="10" t="s">
        <v>45</v>
      </c>
      <c r="E442" s="90" t="s">
        <v>2519</v>
      </c>
      <c r="F442" s="90" t="s">
        <v>2520</v>
      </c>
      <c r="G442" s="90" t="s">
        <v>2447</v>
      </c>
      <c r="H442" s="90" t="s">
        <v>2507</v>
      </c>
      <c r="I442" s="90" t="s">
        <v>2521</v>
      </c>
      <c r="J442" s="91">
        <v>10</v>
      </c>
      <c r="K442" s="92">
        <f t="shared" si="18"/>
        <v>0.5</v>
      </c>
      <c r="L442" s="92">
        <v>20</v>
      </c>
      <c r="M442" s="92">
        <v>3.5</v>
      </c>
      <c r="N442" s="93">
        <f t="shared" si="19"/>
        <v>2.8571428571428572</v>
      </c>
      <c r="O442" s="94">
        <v>94.56</v>
      </c>
      <c r="P442" s="95">
        <f t="shared" si="20"/>
        <v>270.17142857142858</v>
      </c>
      <c r="Q442" s="90" t="s">
        <v>27</v>
      </c>
      <c r="R442" s="89" t="s">
        <v>28</v>
      </c>
      <c r="S442" s="89" t="s">
        <v>222</v>
      </c>
    </row>
    <row r="443" spans="1:19" ht="18" customHeight="1">
      <c r="A443" s="89" t="s">
        <v>2522</v>
      </c>
      <c r="B443" s="90" t="s">
        <v>2445</v>
      </c>
      <c r="C443" s="90" t="s">
        <v>2523</v>
      </c>
      <c r="D443" s="11" t="s">
        <v>59</v>
      </c>
      <c r="E443" s="90" t="s">
        <v>2447</v>
      </c>
      <c r="F443" s="90" t="s">
        <v>2524</v>
      </c>
      <c r="G443" s="90" t="s">
        <v>2525</v>
      </c>
      <c r="H443" s="90" t="s">
        <v>2507</v>
      </c>
      <c r="I443" s="90" t="s">
        <v>1615</v>
      </c>
      <c r="J443" s="91">
        <v>15</v>
      </c>
      <c r="K443" s="92">
        <f t="shared" si="18"/>
        <v>0.6</v>
      </c>
      <c r="L443" s="92">
        <v>25</v>
      </c>
      <c r="M443" s="92">
        <v>3</v>
      </c>
      <c r="N443" s="93">
        <f t="shared" si="19"/>
        <v>5</v>
      </c>
      <c r="O443" s="94">
        <v>94.56</v>
      </c>
      <c r="P443" s="95">
        <f t="shared" si="20"/>
        <v>472.8</v>
      </c>
      <c r="Q443" s="90" t="s">
        <v>27</v>
      </c>
      <c r="R443" s="89" t="s">
        <v>28</v>
      </c>
      <c r="S443" s="89" t="s">
        <v>138</v>
      </c>
    </row>
    <row r="444" spans="1:19" ht="18" customHeight="1">
      <c r="A444" s="54" t="s">
        <v>2526</v>
      </c>
      <c r="B444" s="55" t="s">
        <v>2527</v>
      </c>
      <c r="C444" s="55" t="s">
        <v>2528</v>
      </c>
      <c r="D444" s="15" t="s">
        <v>519</v>
      </c>
      <c r="E444" s="55" t="s">
        <v>2529</v>
      </c>
      <c r="F444" s="55" t="s">
        <v>2530</v>
      </c>
      <c r="G444" s="55" t="s">
        <v>2531</v>
      </c>
      <c r="H444" s="55" t="s">
        <v>2532</v>
      </c>
      <c r="I444" s="55" t="s">
        <v>2533</v>
      </c>
      <c r="J444" s="56">
        <v>302</v>
      </c>
      <c r="K444" s="57">
        <f t="shared" si="18"/>
        <v>3.7749999999999999</v>
      </c>
      <c r="L444" s="57">
        <v>80</v>
      </c>
      <c r="M444" s="57">
        <v>5</v>
      </c>
      <c r="N444" s="58">
        <f t="shared" si="19"/>
        <v>60.4</v>
      </c>
      <c r="O444" s="59">
        <v>94.56</v>
      </c>
      <c r="P444" s="60">
        <f t="shared" si="20"/>
        <v>5711.424</v>
      </c>
      <c r="Q444" s="55" t="s">
        <v>37</v>
      </c>
      <c r="R444" s="54" t="s">
        <v>85</v>
      </c>
      <c r="S444" s="54" t="s">
        <v>29</v>
      </c>
    </row>
    <row r="445" spans="1:19" ht="18" customHeight="1">
      <c r="A445" s="54" t="s">
        <v>2534</v>
      </c>
      <c r="B445" s="55" t="s">
        <v>2527</v>
      </c>
      <c r="C445" s="55" t="s">
        <v>2535</v>
      </c>
      <c r="D445" s="15" t="s">
        <v>519</v>
      </c>
      <c r="E445" s="55" t="s">
        <v>2536</v>
      </c>
      <c r="F445" s="55" t="s">
        <v>2537</v>
      </c>
      <c r="G445" s="55" t="s">
        <v>2538</v>
      </c>
      <c r="H445" s="55" t="s">
        <v>2539</v>
      </c>
      <c r="I445" s="55" t="s">
        <v>1358</v>
      </c>
      <c r="J445" s="56">
        <v>296</v>
      </c>
      <c r="K445" s="57">
        <f t="shared" si="18"/>
        <v>3.7</v>
      </c>
      <c r="L445" s="57">
        <v>80</v>
      </c>
      <c r="M445" s="57">
        <v>5</v>
      </c>
      <c r="N445" s="58">
        <f t="shared" si="19"/>
        <v>59.2</v>
      </c>
      <c r="O445" s="59">
        <v>94.56</v>
      </c>
      <c r="P445" s="60">
        <f t="shared" si="20"/>
        <v>5597.9520000000002</v>
      </c>
      <c r="Q445" s="55" t="s">
        <v>37</v>
      </c>
      <c r="R445" s="54" t="s">
        <v>85</v>
      </c>
      <c r="S445" s="54" t="s">
        <v>370</v>
      </c>
    </row>
    <row r="446" spans="1:19" ht="18" customHeight="1">
      <c r="A446" s="54" t="s">
        <v>2540</v>
      </c>
      <c r="B446" s="55" t="s">
        <v>2527</v>
      </c>
      <c r="C446" s="55" t="s">
        <v>2541</v>
      </c>
      <c r="D446" s="15" t="s">
        <v>519</v>
      </c>
      <c r="E446" s="55" t="s">
        <v>2542</v>
      </c>
      <c r="F446" s="55" t="s">
        <v>2543</v>
      </c>
      <c r="G446" s="55" t="s">
        <v>2544</v>
      </c>
      <c r="H446" s="55" t="s">
        <v>2544</v>
      </c>
      <c r="I446" s="55" t="s">
        <v>2545</v>
      </c>
      <c r="J446" s="56">
        <v>65</v>
      </c>
      <c r="K446" s="57">
        <f t="shared" si="18"/>
        <v>0.8125</v>
      </c>
      <c r="L446" s="57">
        <v>80</v>
      </c>
      <c r="M446" s="57">
        <v>5</v>
      </c>
      <c r="N446" s="58">
        <f t="shared" si="19"/>
        <v>13</v>
      </c>
      <c r="O446" s="59">
        <v>94.56</v>
      </c>
      <c r="P446" s="60">
        <f t="shared" si="20"/>
        <v>1229.28</v>
      </c>
      <c r="Q446" s="55" t="s">
        <v>37</v>
      </c>
      <c r="R446" s="54" t="s">
        <v>85</v>
      </c>
      <c r="S446" s="54" t="s">
        <v>669</v>
      </c>
    </row>
    <row r="447" spans="1:19" ht="18" customHeight="1">
      <c r="A447" s="54" t="s">
        <v>2546</v>
      </c>
      <c r="B447" s="55" t="s">
        <v>2527</v>
      </c>
      <c r="C447" s="55" t="s">
        <v>2547</v>
      </c>
      <c r="D447" s="15" t="s">
        <v>519</v>
      </c>
      <c r="E447" s="55" t="s">
        <v>2543</v>
      </c>
      <c r="F447" s="55" t="s">
        <v>2548</v>
      </c>
      <c r="G447" s="55" t="s">
        <v>2549</v>
      </c>
      <c r="H447" s="55" t="s">
        <v>2550</v>
      </c>
      <c r="I447" s="55" t="s">
        <v>2551</v>
      </c>
      <c r="J447" s="56">
        <v>594</v>
      </c>
      <c r="K447" s="57">
        <f t="shared" si="18"/>
        <v>7.4249999999999998</v>
      </c>
      <c r="L447" s="57">
        <v>80</v>
      </c>
      <c r="M447" s="57">
        <v>5</v>
      </c>
      <c r="N447" s="58">
        <f t="shared" si="19"/>
        <v>118.8</v>
      </c>
      <c r="O447" s="59">
        <v>94.56</v>
      </c>
      <c r="P447" s="60">
        <f t="shared" si="20"/>
        <v>11233.727999999999</v>
      </c>
      <c r="Q447" s="55" t="s">
        <v>37</v>
      </c>
      <c r="R447" s="54" t="s">
        <v>85</v>
      </c>
      <c r="S447" s="54" t="s">
        <v>571</v>
      </c>
    </row>
    <row r="448" spans="1:19" ht="18" customHeight="1">
      <c r="A448" s="54" t="s">
        <v>2552</v>
      </c>
      <c r="B448" s="55" t="s">
        <v>2527</v>
      </c>
      <c r="C448" s="55" t="s">
        <v>2553</v>
      </c>
      <c r="D448" s="15" t="s">
        <v>519</v>
      </c>
      <c r="E448" s="55" t="s">
        <v>2554</v>
      </c>
      <c r="F448" s="55" t="s">
        <v>2555</v>
      </c>
      <c r="G448" s="55" t="s">
        <v>2556</v>
      </c>
      <c r="H448" s="55" t="s">
        <v>2556</v>
      </c>
      <c r="I448" s="55" t="s">
        <v>2557</v>
      </c>
      <c r="J448" s="56">
        <v>91</v>
      </c>
      <c r="K448" s="57">
        <f t="shared" si="18"/>
        <v>1.1375</v>
      </c>
      <c r="L448" s="57">
        <v>80</v>
      </c>
      <c r="M448" s="57">
        <v>5</v>
      </c>
      <c r="N448" s="58">
        <f t="shared" si="19"/>
        <v>18.2</v>
      </c>
      <c r="O448" s="59">
        <v>94.56</v>
      </c>
      <c r="P448" s="60">
        <f t="shared" si="20"/>
        <v>1720.992</v>
      </c>
      <c r="Q448" s="55" t="s">
        <v>37</v>
      </c>
      <c r="R448" s="54" t="s">
        <v>85</v>
      </c>
      <c r="S448" s="54" t="s">
        <v>571</v>
      </c>
    </row>
    <row r="449" spans="1:19" ht="18" customHeight="1">
      <c r="A449" s="54" t="s">
        <v>2558</v>
      </c>
      <c r="B449" s="55" t="s">
        <v>2527</v>
      </c>
      <c r="C449" s="55" t="s">
        <v>2559</v>
      </c>
      <c r="D449" s="13" t="s">
        <v>81</v>
      </c>
      <c r="E449" s="55" t="s">
        <v>2529</v>
      </c>
      <c r="F449" s="55" t="s">
        <v>2560</v>
      </c>
      <c r="G449" s="55" t="s">
        <v>2561</v>
      </c>
      <c r="H449" s="55" t="s">
        <v>2562</v>
      </c>
      <c r="I449" s="55" t="s">
        <v>2557</v>
      </c>
      <c r="J449" s="56">
        <v>670</v>
      </c>
      <c r="K449" s="57">
        <f t="shared" si="18"/>
        <v>13.4</v>
      </c>
      <c r="L449" s="57">
        <v>50</v>
      </c>
      <c r="M449" s="57">
        <v>4.5</v>
      </c>
      <c r="N449" s="58">
        <f t="shared" si="19"/>
        <v>148.88888888888889</v>
      </c>
      <c r="O449" s="59">
        <v>94.56</v>
      </c>
      <c r="P449" s="60">
        <f t="shared" si="20"/>
        <v>14078.933333333332</v>
      </c>
      <c r="Q449" s="55" t="s">
        <v>37</v>
      </c>
      <c r="R449" s="54" t="s">
        <v>85</v>
      </c>
      <c r="S449" s="54" t="s">
        <v>86</v>
      </c>
    </row>
    <row r="450" spans="1:19" ht="18" customHeight="1">
      <c r="A450" s="54" t="s">
        <v>2563</v>
      </c>
      <c r="B450" s="55" t="s">
        <v>2527</v>
      </c>
      <c r="C450" s="55" t="s">
        <v>2564</v>
      </c>
      <c r="D450" s="13" t="s">
        <v>81</v>
      </c>
      <c r="E450" s="55" t="s">
        <v>770</v>
      </c>
      <c r="F450" s="55" t="s">
        <v>2530</v>
      </c>
      <c r="G450" s="55" t="s">
        <v>2565</v>
      </c>
      <c r="H450" s="55" t="s">
        <v>2566</v>
      </c>
      <c r="I450" s="55" t="s">
        <v>2567</v>
      </c>
      <c r="J450" s="56">
        <v>500</v>
      </c>
      <c r="K450" s="57">
        <f t="shared" ref="K450:K513" si="21">J450/L450</f>
        <v>10</v>
      </c>
      <c r="L450" s="57">
        <v>50</v>
      </c>
      <c r="M450" s="57">
        <v>4.5</v>
      </c>
      <c r="N450" s="58">
        <f t="shared" ref="N450:N513" si="22">J450/M450</f>
        <v>111.11111111111111</v>
      </c>
      <c r="O450" s="59">
        <v>94.56</v>
      </c>
      <c r="P450" s="60">
        <f t="shared" ref="P450:P513" si="23">N450*O450</f>
        <v>10506.666666666668</v>
      </c>
      <c r="Q450" s="55" t="s">
        <v>37</v>
      </c>
      <c r="R450" s="54" t="s">
        <v>85</v>
      </c>
      <c r="S450" s="54" t="s">
        <v>86</v>
      </c>
    </row>
    <row r="451" spans="1:19" ht="18" customHeight="1">
      <c r="A451" s="54" t="s">
        <v>2568</v>
      </c>
      <c r="B451" s="55" t="s">
        <v>2527</v>
      </c>
      <c r="C451" s="55" t="s">
        <v>2569</v>
      </c>
      <c r="D451" s="13" t="s">
        <v>81</v>
      </c>
      <c r="E451" s="55" t="s">
        <v>2570</v>
      </c>
      <c r="F451" s="55" t="s">
        <v>2560</v>
      </c>
      <c r="G451" s="55" t="s">
        <v>2571</v>
      </c>
      <c r="H451" s="55" t="s">
        <v>2572</v>
      </c>
      <c r="I451" s="55" t="s">
        <v>2557</v>
      </c>
      <c r="J451" s="56">
        <v>155</v>
      </c>
      <c r="K451" s="57">
        <f t="shared" si="21"/>
        <v>3.1</v>
      </c>
      <c r="L451" s="57">
        <v>50</v>
      </c>
      <c r="M451" s="57">
        <v>4.5</v>
      </c>
      <c r="N451" s="58">
        <f t="shared" si="22"/>
        <v>34.444444444444443</v>
      </c>
      <c r="O451" s="59">
        <v>94.56</v>
      </c>
      <c r="P451" s="60">
        <f t="shared" si="23"/>
        <v>3257.0666666666666</v>
      </c>
      <c r="Q451" s="55" t="s">
        <v>37</v>
      </c>
      <c r="R451" s="54" t="s">
        <v>85</v>
      </c>
      <c r="S451" s="54" t="s">
        <v>86</v>
      </c>
    </row>
    <row r="452" spans="1:19" ht="18" customHeight="1">
      <c r="A452" s="54" t="s">
        <v>2573</v>
      </c>
      <c r="B452" s="55" t="s">
        <v>2527</v>
      </c>
      <c r="C452" s="55" t="s">
        <v>2574</v>
      </c>
      <c r="D452" s="13" t="s">
        <v>81</v>
      </c>
      <c r="E452" s="55" t="s">
        <v>2530</v>
      </c>
      <c r="F452" s="55" t="s">
        <v>2555</v>
      </c>
      <c r="G452" s="55" t="s">
        <v>2575</v>
      </c>
      <c r="H452" s="55" t="s">
        <v>2576</v>
      </c>
      <c r="I452" s="55" t="s">
        <v>2557</v>
      </c>
      <c r="J452" s="56">
        <v>280</v>
      </c>
      <c r="K452" s="57">
        <f t="shared" si="21"/>
        <v>5.6</v>
      </c>
      <c r="L452" s="57">
        <v>50</v>
      </c>
      <c r="M452" s="57">
        <v>4.5</v>
      </c>
      <c r="N452" s="58">
        <f t="shared" si="22"/>
        <v>62.222222222222221</v>
      </c>
      <c r="O452" s="59">
        <v>94.56</v>
      </c>
      <c r="P452" s="60">
        <f t="shared" si="23"/>
        <v>5883.7333333333336</v>
      </c>
      <c r="Q452" s="55" t="s">
        <v>37</v>
      </c>
      <c r="R452" s="54" t="s">
        <v>85</v>
      </c>
      <c r="S452" s="54" t="s">
        <v>86</v>
      </c>
    </row>
    <row r="453" spans="1:19" ht="18" customHeight="1">
      <c r="A453" s="54" t="s">
        <v>2577</v>
      </c>
      <c r="B453" s="55" t="s">
        <v>2527</v>
      </c>
      <c r="C453" s="55" t="s">
        <v>2578</v>
      </c>
      <c r="D453" s="13" t="s">
        <v>81</v>
      </c>
      <c r="E453" s="55" t="s">
        <v>2529</v>
      </c>
      <c r="F453" s="55" t="s">
        <v>2537</v>
      </c>
      <c r="G453" s="55" t="s">
        <v>2579</v>
      </c>
      <c r="H453" s="55" t="s">
        <v>2579</v>
      </c>
      <c r="I453" s="55" t="s">
        <v>2533</v>
      </c>
      <c r="J453" s="56">
        <v>135</v>
      </c>
      <c r="K453" s="57">
        <f t="shared" si="21"/>
        <v>2.7</v>
      </c>
      <c r="L453" s="57">
        <v>50</v>
      </c>
      <c r="M453" s="57">
        <v>4.5</v>
      </c>
      <c r="N453" s="58">
        <f t="shared" si="22"/>
        <v>30</v>
      </c>
      <c r="O453" s="59">
        <v>94.56</v>
      </c>
      <c r="P453" s="60">
        <f t="shared" si="23"/>
        <v>2836.8</v>
      </c>
      <c r="Q453" s="55" t="s">
        <v>37</v>
      </c>
      <c r="R453" s="54" t="s">
        <v>85</v>
      </c>
      <c r="S453" s="54" t="s">
        <v>86</v>
      </c>
    </row>
    <row r="454" spans="1:19" ht="18" customHeight="1">
      <c r="A454" s="54" t="s">
        <v>2580</v>
      </c>
      <c r="B454" s="55" t="s">
        <v>2527</v>
      </c>
      <c r="C454" s="55" t="s">
        <v>2581</v>
      </c>
      <c r="D454" s="15" t="s">
        <v>519</v>
      </c>
      <c r="E454" s="55" t="s">
        <v>2530</v>
      </c>
      <c r="F454" s="55" t="s">
        <v>2582</v>
      </c>
      <c r="G454" s="55" t="s">
        <v>2583</v>
      </c>
      <c r="H454" s="55" t="s">
        <v>2583</v>
      </c>
      <c r="I454" s="55" t="s">
        <v>2557</v>
      </c>
      <c r="J454" s="56">
        <v>341</v>
      </c>
      <c r="K454" s="57">
        <f t="shared" si="21"/>
        <v>4.2625000000000002</v>
      </c>
      <c r="L454" s="57">
        <v>80</v>
      </c>
      <c r="M454" s="57">
        <v>5</v>
      </c>
      <c r="N454" s="58">
        <f t="shared" si="22"/>
        <v>68.2</v>
      </c>
      <c r="O454" s="59">
        <v>94.56</v>
      </c>
      <c r="P454" s="60">
        <f t="shared" si="23"/>
        <v>6448.9920000000002</v>
      </c>
      <c r="Q454" s="55" t="s">
        <v>37</v>
      </c>
      <c r="R454" s="54" t="s">
        <v>85</v>
      </c>
      <c r="S454" s="54" t="s">
        <v>1916</v>
      </c>
    </row>
    <row r="455" spans="1:19" ht="18" customHeight="1">
      <c r="A455" s="54" t="s">
        <v>2584</v>
      </c>
      <c r="B455" s="55" t="s">
        <v>2527</v>
      </c>
      <c r="C455" s="55" t="s">
        <v>2585</v>
      </c>
      <c r="D455" s="11" t="s">
        <v>59</v>
      </c>
      <c r="E455" s="55" t="s">
        <v>2586</v>
      </c>
      <c r="F455" s="55" t="s">
        <v>2536</v>
      </c>
      <c r="G455" s="55" t="s">
        <v>2587</v>
      </c>
      <c r="H455" s="55" t="s">
        <v>2587</v>
      </c>
      <c r="I455" s="55" t="s">
        <v>1358</v>
      </c>
      <c r="J455" s="56">
        <v>85</v>
      </c>
      <c r="K455" s="57">
        <f t="shared" si="21"/>
        <v>3.4</v>
      </c>
      <c r="L455" s="57">
        <v>25</v>
      </c>
      <c r="M455" s="57">
        <v>3</v>
      </c>
      <c r="N455" s="58">
        <f t="shared" si="22"/>
        <v>28.333333333333332</v>
      </c>
      <c r="O455" s="59">
        <v>94.56</v>
      </c>
      <c r="P455" s="60">
        <f t="shared" si="23"/>
        <v>2679.2</v>
      </c>
      <c r="Q455" s="55" t="s">
        <v>64</v>
      </c>
      <c r="R455" s="54" t="s">
        <v>28</v>
      </c>
      <c r="S455" s="54" t="s">
        <v>524</v>
      </c>
    </row>
    <row r="456" spans="1:19" ht="18" customHeight="1">
      <c r="A456" s="54" t="s">
        <v>2588</v>
      </c>
      <c r="B456" s="55" t="s">
        <v>2527</v>
      </c>
      <c r="C456" s="55" t="s">
        <v>2589</v>
      </c>
      <c r="D456" s="11" t="s">
        <v>59</v>
      </c>
      <c r="E456" s="55" t="s">
        <v>2555</v>
      </c>
      <c r="F456" s="55" t="s">
        <v>2590</v>
      </c>
      <c r="G456" s="55" t="s">
        <v>2591</v>
      </c>
      <c r="H456" s="55" t="s">
        <v>2591</v>
      </c>
      <c r="I456" s="55" t="s">
        <v>2592</v>
      </c>
      <c r="J456" s="56">
        <v>60</v>
      </c>
      <c r="K456" s="57">
        <f t="shared" si="21"/>
        <v>2.4</v>
      </c>
      <c r="L456" s="57">
        <v>25</v>
      </c>
      <c r="M456" s="57">
        <v>3</v>
      </c>
      <c r="N456" s="58">
        <f t="shared" si="22"/>
        <v>20</v>
      </c>
      <c r="O456" s="59">
        <v>94.56</v>
      </c>
      <c r="P456" s="60">
        <f t="shared" si="23"/>
        <v>1891.2</v>
      </c>
      <c r="Q456" s="55" t="s">
        <v>27</v>
      </c>
      <c r="R456" s="54" t="s">
        <v>28</v>
      </c>
      <c r="S456" s="54" t="s">
        <v>524</v>
      </c>
    </row>
    <row r="457" spans="1:19" ht="18" customHeight="1">
      <c r="A457" s="54" t="s">
        <v>2593</v>
      </c>
      <c r="B457" s="55" t="s">
        <v>2527</v>
      </c>
      <c r="C457" s="55" t="s">
        <v>2594</v>
      </c>
      <c r="D457" s="4" t="s">
        <v>22</v>
      </c>
      <c r="E457" s="55" t="s">
        <v>2530</v>
      </c>
      <c r="F457" s="55" t="s">
        <v>2595</v>
      </c>
      <c r="G457" s="55" t="s">
        <v>2596</v>
      </c>
      <c r="H457" s="55" t="s">
        <v>2596</v>
      </c>
      <c r="I457" s="55" t="s">
        <v>2533</v>
      </c>
      <c r="J457" s="56">
        <v>80</v>
      </c>
      <c r="K457" s="57">
        <f t="shared" si="21"/>
        <v>1.7777777777777777</v>
      </c>
      <c r="L457" s="57">
        <v>45</v>
      </c>
      <c r="M457" s="57">
        <v>4</v>
      </c>
      <c r="N457" s="58">
        <f t="shared" si="22"/>
        <v>20</v>
      </c>
      <c r="O457" s="59">
        <v>94.56</v>
      </c>
      <c r="P457" s="60">
        <f t="shared" si="23"/>
        <v>1891.2</v>
      </c>
      <c r="Q457" s="55" t="s">
        <v>37</v>
      </c>
      <c r="R457" s="54" t="s">
        <v>28</v>
      </c>
      <c r="S457" s="54" t="s">
        <v>125</v>
      </c>
    </row>
    <row r="458" spans="1:19" ht="18" customHeight="1">
      <c r="A458" s="54" t="s">
        <v>2597</v>
      </c>
      <c r="B458" s="55" t="s">
        <v>2527</v>
      </c>
      <c r="C458" s="55" t="s">
        <v>2598</v>
      </c>
      <c r="D458" s="4" t="s">
        <v>22</v>
      </c>
      <c r="E458" s="55" t="s">
        <v>2530</v>
      </c>
      <c r="F458" s="55" t="s">
        <v>2599</v>
      </c>
      <c r="G458" s="55" t="s">
        <v>2600</v>
      </c>
      <c r="H458" s="55" t="s">
        <v>2601</v>
      </c>
      <c r="I458" s="55" t="s">
        <v>2602</v>
      </c>
      <c r="J458" s="56">
        <v>135</v>
      </c>
      <c r="K458" s="57">
        <f t="shared" si="21"/>
        <v>3</v>
      </c>
      <c r="L458" s="57">
        <v>45</v>
      </c>
      <c r="M458" s="57">
        <v>4</v>
      </c>
      <c r="N458" s="58">
        <f t="shared" si="22"/>
        <v>33.75</v>
      </c>
      <c r="O458" s="59">
        <v>94.56</v>
      </c>
      <c r="P458" s="60">
        <f t="shared" si="23"/>
        <v>3191.4</v>
      </c>
      <c r="Q458" s="55" t="s">
        <v>27</v>
      </c>
      <c r="R458" s="54" t="s">
        <v>28</v>
      </c>
      <c r="S458" s="54" t="s">
        <v>125</v>
      </c>
    </row>
    <row r="459" spans="1:19" ht="18" customHeight="1">
      <c r="A459" s="54" t="s">
        <v>2603</v>
      </c>
      <c r="B459" s="55" t="s">
        <v>2527</v>
      </c>
      <c r="C459" s="55" t="s">
        <v>2604</v>
      </c>
      <c r="D459" s="12" t="s">
        <v>67</v>
      </c>
      <c r="E459" s="55" t="s">
        <v>2605</v>
      </c>
      <c r="F459" s="55" t="s">
        <v>2606</v>
      </c>
      <c r="G459" s="55" t="s">
        <v>2607</v>
      </c>
      <c r="H459" s="55" t="s">
        <v>2605</v>
      </c>
      <c r="I459" s="55" t="s">
        <v>2608</v>
      </c>
      <c r="J459" s="56">
        <v>15</v>
      </c>
      <c r="K459" s="57">
        <f t="shared" si="21"/>
        <v>0.375</v>
      </c>
      <c r="L459" s="57">
        <v>40</v>
      </c>
      <c r="M459" s="57">
        <v>3.5</v>
      </c>
      <c r="N459" s="58">
        <f t="shared" si="22"/>
        <v>4.2857142857142856</v>
      </c>
      <c r="O459" s="59">
        <v>94.56</v>
      </c>
      <c r="P459" s="60">
        <f t="shared" si="23"/>
        <v>405.25714285714287</v>
      </c>
      <c r="Q459" s="55" t="s">
        <v>27</v>
      </c>
      <c r="R459" s="54" t="s">
        <v>28</v>
      </c>
      <c r="S459" s="54" t="s">
        <v>2609</v>
      </c>
    </row>
    <row r="460" spans="1:19" ht="18" customHeight="1">
      <c r="A460" s="54" t="s">
        <v>2610</v>
      </c>
      <c r="B460" s="55" t="s">
        <v>2527</v>
      </c>
      <c r="C460" s="55" t="s">
        <v>2611</v>
      </c>
      <c r="D460" s="10" t="s">
        <v>45</v>
      </c>
      <c r="E460" s="55" t="s">
        <v>2612</v>
      </c>
      <c r="F460" s="55" t="s">
        <v>2613</v>
      </c>
      <c r="G460" s="55" t="s">
        <v>2529</v>
      </c>
      <c r="H460" s="55" t="s">
        <v>2529</v>
      </c>
      <c r="I460" s="55" t="s">
        <v>2614</v>
      </c>
      <c r="J460" s="56">
        <v>5</v>
      </c>
      <c r="K460" s="57">
        <f t="shared" si="21"/>
        <v>0.25</v>
      </c>
      <c r="L460" s="57">
        <v>20</v>
      </c>
      <c r="M460" s="57">
        <v>3.5</v>
      </c>
      <c r="N460" s="58">
        <f t="shared" si="22"/>
        <v>1.4285714285714286</v>
      </c>
      <c r="O460" s="59">
        <v>94.56</v>
      </c>
      <c r="P460" s="60">
        <f t="shared" si="23"/>
        <v>135.08571428571429</v>
      </c>
      <c r="Q460" s="55" t="s">
        <v>37</v>
      </c>
      <c r="R460" s="54" t="s">
        <v>28</v>
      </c>
      <c r="S460" s="54" t="s">
        <v>2609</v>
      </c>
    </row>
    <row r="461" spans="1:19" ht="18" customHeight="1">
      <c r="A461" s="54" t="s">
        <v>2615</v>
      </c>
      <c r="B461" s="55" t="s">
        <v>2527</v>
      </c>
      <c r="C461" s="55" t="s">
        <v>2616</v>
      </c>
      <c r="D461" s="10" t="s">
        <v>45</v>
      </c>
      <c r="E461" s="55" t="s">
        <v>2617</v>
      </c>
      <c r="F461" s="55" t="s">
        <v>2618</v>
      </c>
      <c r="G461" s="55" t="s">
        <v>2530</v>
      </c>
      <c r="H461" s="55" t="s">
        <v>2530</v>
      </c>
      <c r="I461" s="55" t="s">
        <v>2619</v>
      </c>
      <c r="J461" s="56">
        <v>8</v>
      </c>
      <c r="K461" s="57">
        <f t="shared" si="21"/>
        <v>0.4</v>
      </c>
      <c r="L461" s="57">
        <v>20</v>
      </c>
      <c r="M461" s="57">
        <v>3.5</v>
      </c>
      <c r="N461" s="58">
        <f t="shared" si="22"/>
        <v>2.2857142857142856</v>
      </c>
      <c r="O461" s="59">
        <v>94.56</v>
      </c>
      <c r="P461" s="60">
        <f t="shared" si="23"/>
        <v>216.13714285714286</v>
      </c>
      <c r="Q461" s="55" t="s">
        <v>37</v>
      </c>
      <c r="R461" s="54" t="s">
        <v>28</v>
      </c>
      <c r="S461" s="54" t="s">
        <v>2609</v>
      </c>
    </row>
    <row r="462" spans="1:19" ht="18" customHeight="1">
      <c r="A462" s="54" t="s">
        <v>2620</v>
      </c>
      <c r="B462" s="55" t="s">
        <v>2527</v>
      </c>
      <c r="C462" s="55" t="s">
        <v>2621</v>
      </c>
      <c r="D462" s="10" t="s">
        <v>45</v>
      </c>
      <c r="E462" s="55" t="s">
        <v>2622</v>
      </c>
      <c r="F462" s="55" t="s">
        <v>2623</v>
      </c>
      <c r="G462" s="55" t="s">
        <v>2624</v>
      </c>
      <c r="H462" s="55" t="s">
        <v>2625</v>
      </c>
      <c r="I462" s="55" t="s">
        <v>2626</v>
      </c>
      <c r="J462" s="56">
        <v>30</v>
      </c>
      <c r="K462" s="57">
        <f t="shared" si="21"/>
        <v>1.5</v>
      </c>
      <c r="L462" s="57">
        <v>20</v>
      </c>
      <c r="M462" s="57">
        <v>3.5</v>
      </c>
      <c r="N462" s="58">
        <f t="shared" si="22"/>
        <v>8.5714285714285712</v>
      </c>
      <c r="O462" s="59">
        <v>94.56</v>
      </c>
      <c r="P462" s="60">
        <f t="shared" si="23"/>
        <v>810.51428571428573</v>
      </c>
      <c r="Q462" s="55" t="s">
        <v>37</v>
      </c>
      <c r="R462" s="54" t="s">
        <v>28</v>
      </c>
      <c r="S462" s="54" t="s">
        <v>2609</v>
      </c>
    </row>
    <row r="463" spans="1:19" ht="18" customHeight="1">
      <c r="A463" s="54" t="s">
        <v>2627</v>
      </c>
      <c r="B463" s="55" t="s">
        <v>2527</v>
      </c>
      <c r="C463" s="55" t="s">
        <v>2628</v>
      </c>
      <c r="D463" s="10" t="s">
        <v>45</v>
      </c>
      <c r="E463" s="55" t="s">
        <v>2629</v>
      </c>
      <c r="F463" s="55" t="s">
        <v>2630</v>
      </c>
      <c r="G463" s="55" t="s">
        <v>2560</v>
      </c>
      <c r="H463" s="55" t="s">
        <v>2560</v>
      </c>
      <c r="I463" s="55" t="s">
        <v>2631</v>
      </c>
      <c r="J463" s="56">
        <v>5</v>
      </c>
      <c r="K463" s="57">
        <f t="shared" si="21"/>
        <v>0.25</v>
      </c>
      <c r="L463" s="57">
        <v>20</v>
      </c>
      <c r="M463" s="57">
        <v>3.5</v>
      </c>
      <c r="N463" s="58">
        <f t="shared" si="22"/>
        <v>1.4285714285714286</v>
      </c>
      <c r="O463" s="59">
        <v>94.56</v>
      </c>
      <c r="P463" s="60">
        <f t="shared" si="23"/>
        <v>135.08571428571429</v>
      </c>
      <c r="Q463" s="55" t="s">
        <v>27</v>
      </c>
      <c r="R463" s="54" t="s">
        <v>28</v>
      </c>
      <c r="S463" s="54" t="s">
        <v>2609</v>
      </c>
    </row>
    <row r="464" spans="1:19" ht="18" customHeight="1">
      <c r="A464" s="54" t="s">
        <v>2632</v>
      </c>
      <c r="B464" s="55" t="s">
        <v>2527</v>
      </c>
      <c r="C464" s="55" t="s">
        <v>2633</v>
      </c>
      <c r="D464" s="11" t="s">
        <v>59</v>
      </c>
      <c r="E464" s="55" t="s">
        <v>2634</v>
      </c>
      <c r="F464" s="55" t="s">
        <v>2635</v>
      </c>
      <c r="G464" s="55" t="s">
        <v>2636</v>
      </c>
      <c r="H464" s="55" t="s">
        <v>2634</v>
      </c>
      <c r="I464" s="55" t="s">
        <v>2637</v>
      </c>
      <c r="J464" s="56">
        <v>55</v>
      </c>
      <c r="K464" s="57">
        <f t="shared" si="21"/>
        <v>2.2000000000000002</v>
      </c>
      <c r="L464" s="57">
        <v>25</v>
      </c>
      <c r="M464" s="57">
        <v>3</v>
      </c>
      <c r="N464" s="58">
        <f t="shared" si="22"/>
        <v>18.333333333333332</v>
      </c>
      <c r="O464" s="59">
        <v>94.56</v>
      </c>
      <c r="P464" s="60">
        <f t="shared" si="23"/>
        <v>1733.6</v>
      </c>
      <c r="Q464" s="55" t="s">
        <v>64</v>
      </c>
      <c r="R464" s="54" t="s">
        <v>28</v>
      </c>
      <c r="S464" s="54" t="s">
        <v>138</v>
      </c>
    </row>
    <row r="465" spans="1:19" ht="18" customHeight="1">
      <c r="A465" s="54" t="s">
        <v>2638</v>
      </c>
      <c r="B465" s="55" t="s">
        <v>2527</v>
      </c>
      <c r="C465" s="55" t="s">
        <v>2639</v>
      </c>
      <c r="D465" s="15" t="s">
        <v>519</v>
      </c>
      <c r="E465" s="55" t="s">
        <v>2623</v>
      </c>
      <c r="F465" s="55" t="s">
        <v>2529</v>
      </c>
      <c r="G465" s="55" t="s">
        <v>2640</v>
      </c>
      <c r="H465" s="55" t="s">
        <v>2641</v>
      </c>
      <c r="I465" s="55" t="s">
        <v>2545</v>
      </c>
      <c r="J465" s="56">
        <v>165</v>
      </c>
      <c r="K465" s="57">
        <f t="shared" si="21"/>
        <v>2.0625</v>
      </c>
      <c r="L465" s="57">
        <v>80</v>
      </c>
      <c r="M465" s="57">
        <v>5</v>
      </c>
      <c r="N465" s="58">
        <f t="shared" si="22"/>
        <v>33</v>
      </c>
      <c r="O465" s="59">
        <v>94.56</v>
      </c>
      <c r="P465" s="60">
        <f t="shared" si="23"/>
        <v>3120.48</v>
      </c>
      <c r="Q465" s="55" t="s">
        <v>37</v>
      </c>
      <c r="R465" s="54" t="s">
        <v>85</v>
      </c>
      <c r="S465" s="54" t="s">
        <v>2642</v>
      </c>
    </row>
    <row r="466" spans="1:19" ht="18" customHeight="1">
      <c r="A466" s="61" t="s">
        <v>2643</v>
      </c>
      <c r="B466" s="62" t="s">
        <v>2644</v>
      </c>
      <c r="C466" s="62" t="s">
        <v>2645</v>
      </c>
      <c r="D466" s="13" t="s">
        <v>81</v>
      </c>
      <c r="E466" s="62" t="s">
        <v>2646</v>
      </c>
      <c r="F466" s="62" t="s">
        <v>2647</v>
      </c>
      <c r="G466" s="62" t="s">
        <v>2648</v>
      </c>
      <c r="H466" s="62" t="s">
        <v>2649</v>
      </c>
      <c r="I466" s="62" t="s">
        <v>2650</v>
      </c>
      <c r="J466" s="63">
        <v>295</v>
      </c>
      <c r="K466" s="64">
        <f t="shared" si="21"/>
        <v>5.9</v>
      </c>
      <c r="L466" s="64">
        <v>50</v>
      </c>
      <c r="M466" s="64">
        <v>4.5</v>
      </c>
      <c r="N466" s="65">
        <f t="shared" si="22"/>
        <v>65.555555555555557</v>
      </c>
      <c r="O466" s="66">
        <v>94.56</v>
      </c>
      <c r="P466" s="67">
        <f t="shared" si="23"/>
        <v>6198.9333333333334</v>
      </c>
      <c r="Q466" s="62" t="s">
        <v>64</v>
      </c>
      <c r="R466" s="61" t="s">
        <v>85</v>
      </c>
      <c r="S466" s="61" t="s">
        <v>475</v>
      </c>
    </row>
    <row r="467" spans="1:19" ht="18" customHeight="1">
      <c r="A467" s="61" t="s">
        <v>2651</v>
      </c>
      <c r="B467" s="62" t="s">
        <v>2644</v>
      </c>
      <c r="C467" s="62" t="s">
        <v>2652</v>
      </c>
      <c r="D467" s="13" t="s">
        <v>81</v>
      </c>
      <c r="E467" s="62" t="s">
        <v>2646</v>
      </c>
      <c r="F467" s="62" t="s">
        <v>2653</v>
      </c>
      <c r="G467" s="62" t="s">
        <v>2654</v>
      </c>
      <c r="H467" s="62" t="s">
        <v>2655</v>
      </c>
      <c r="I467" s="62" t="s">
        <v>2650</v>
      </c>
      <c r="J467" s="63">
        <v>215</v>
      </c>
      <c r="K467" s="64">
        <f t="shared" si="21"/>
        <v>4.3</v>
      </c>
      <c r="L467" s="64">
        <v>50</v>
      </c>
      <c r="M467" s="64">
        <v>4.5</v>
      </c>
      <c r="N467" s="65">
        <f t="shared" si="22"/>
        <v>47.777777777777779</v>
      </c>
      <c r="O467" s="66">
        <v>94.56</v>
      </c>
      <c r="P467" s="67">
        <f t="shared" si="23"/>
        <v>4517.8666666666668</v>
      </c>
      <c r="Q467" s="62" t="s">
        <v>27</v>
      </c>
      <c r="R467" s="61" t="s">
        <v>85</v>
      </c>
      <c r="S467" s="61" t="s">
        <v>475</v>
      </c>
    </row>
    <row r="468" spans="1:19" ht="18" customHeight="1">
      <c r="A468" s="61" t="s">
        <v>2656</v>
      </c>
      <c r="B468" s="62" t="s">
        <v>2644</v>
      </c>
      <c r="C468" s="62" t="s">
        <v>2657</v>
      </c>
      <c r="D468" s="13" t="s">
        <v>81</v>
      </c>
      <c r="E468" s="62" t="s">
        <v>770</v>
      </c>
      <c r="F468" s="62" t="s">
        <v>2646</v>
      </c>
      <c r="G468" s="62" t="s">
        <v>2658</v>
      </c>
      <c r="H468" s="62" t="s">
        <v>2659</v>
      </c>
      <c r="I468" s="62" t="s">
        <v>2660</v>
      </c>
      <c r="J468" s="63">
        <v>210</v>
      </c>
      <c r="K468" s="64">
        <f t="shared" si="21"/>
        <v>4.2</v>
      </c>
      <c r="L468" s="64">
        <v>50</v>
      </c>
      <c r="M468" s="64">
        <v>4.5</v>
      </c>
      <c r="N468" s="65">
        <f t="shared" si="22"/>
        <v>46.666666666666664</v>
      </c>
      <c r="O468" s="66">
        <v>94.56</v>
      </c>
      <c r="P468" s="67">
        <f t="shared" si="23"/>
        <v>4412.8</v>
      </c>
      <c r="Q468" s="62" t="s">
        <v>37</v>
      </c>
      <c r="R468" s="61" t="s">
        <v>85</v>
      </c>
      <c r="S468" s="61" t="s">
        <v>86</v>
      </c>
    </row>
    <row r="469" spans="1:19" ht="18" customHeight="1">
      <c r="A469" s="61" t="s">
        <v>2661</v>
      </c>
      <c r="B469" s="62" t="s">
        <v>2644</v>
      </c>
      <c r="C469" s="62" t="s">
        <v>2662</v>
      </c>
      <c r="D469" s="13" t="s">
        <v>81</v>
      </c>
      <c r="E469" s="62" t="s">
        <v>2663</v>
      </c>
      <c r="F469" s="62" t="s">
        <v>2664</v>
      </c>
      <c r="G469" s="62" t="s">
        <v>2665</v>
      </c>
      <c r="H469" s="62" t="s">
        <v>2666</v>
      </c>
      <c r="I469" s="62" t="s">
        <v>2667</v>
      </c>
      <c r="J469" s="63">
        <v>175</v>
      </c>
      <c r="K469" s="64">
        <f t="shared" si="21"/>
        <v>3.5</v>
      </c>
      <c r="L469" s="64">
        <v>50</v>
      </c>
      <c r="M469" s="64">
        <v>4.5</v>
      </c>
      <c r="N469" s="65">
        <f t="shared" si="22"/>
        <v>38.888888888888886</v>
      </c>
      <c r="O469" s="66">
        <v>94.56</v>
      </c>
      <c r="P469" s="67">
        <f t="shared" si="23"/>
        <v>3677.333333333333</v>
      </c>
      <c r="Q469" s="62" t="s">
        <v>27</v>
      </c>
      <c r="R469" s="61" t="s">
        <v>85</v>
      </c>
      <c r="S469" s="61" t="s">
        <v>86</v>
      </c>
    </row>
    <row r="470" spans="1:19" ht="18" customHeight="1">
      <c r="A470" s="61" t="s">
        <v>2668</v>
      </c>
      <c r="B470" s="62" t="s">
        <v>2644</v>
      </c>
      <c r="C470" s="62" t="s">
        <v>2669</v>
      </c>
      <c r="D470" s="13" t="s">
        <v>81</v>
      </c>
      <c r="E470" s="62" t="s">
        <v>2659</v>
      </c>
      <c r="F470" s="62" t="s">
        <v>2670</v>
      </c>
      <c r="G470" s="62" t="s">
        <v>2671</v>
      </c>
      <c r="H470" s="62" t="s">
        <v>2672</v>
      </c>
      <c r="I470" s="62" t="s">
        <v>2673</v>
      </c>
      <c r="J470" s="63">
        <v>215</v>
      </c>
      <c r="K470" s="64">
        <f t="shared" si="21"/>
        <v>4.3</v>
      </c>
      <c r="L470" s="64">
        <v>50</v>
      </c>
      <c r="M470" s="64">
        <v>4.5</v>
      </c>
      <c r="N470" s="65">
        <f t="shared" si="22"/>
        <v>47.777777777777779</v>
      </c>
      <c r="O470" s="66">
        <v>94.56</v>
      </c>
      <c r="P470" s="67">
        <f t="shared" si="23"/>
        <v>4517.8666666666668</v>
      </c>
      <c r="Q470" s="62" t="s">
        <v>37</v>
      </c>
      <c r="R470" s="61" t="s">
        <v>85</v>
      </c>
      <c r="S470" s="61" t="s">
        <v>86</v>
      </c>
    </row>
    <row r="471" spans="1:19" ht="18" customHeight="1">
      <c r="A471" s="61" t="s">
        <v>2674</v>
      </c>
      <c r="B471" s="62" t="s">
        <v>2644</v>
      </c>
      <c r="C471" s="62" t="s">
        <v>2675</v>
      </c>
      <c r="D471" s="13" t="s">
        <v>81</v>
      </c>
      <c r="E471" s="62" t="s">
        <v>2676</v>
      </c>
      <c r="F471" s="62" t="s">
        <v>2677</v>
      </c>
      <c r="G471" s="62" t="s">
        <v>2678</v>
      </c>
      <c r="H471" s="62" t="s">
        <v>2679</v>
      </c>
      <c r="I471" s="62" t="s">
        <v>2673</v>
      </c>
      <c r="J471" s="63">
        <v>175</v>
      </c>
      <c r="K471" s="64">
        <f t="shared" si="21"/>
        <v>3.5</v>
      </c>
      <c r="L471" s="64">
        <v>50</v>
      </c>
      <c r="M471" s="64">
        <v>4.5</v>
      </c>
      <c r="N471" s="65">
        <f t="shared" si="22"/>
        <v>38.888888888888886</v>
      </c>
      <c r="O471" s="66">
        <v>94.56</v>
      </c>
      <c r="P471" s="67">
        <f t="shared" si="23"/>
        <v>3677.333333333333</v>
      </c>
      <c r="Q471" s="62" t="s">
        <v>27</v>
      </c>
      <c r="R471" s="61" t="s">
        <v>85</v>
      </c>
      <c r="S471" s="61" t="s">
        <v>86</v>
      </c>
    </row>
    <row r="472" spans="1:19" ht="18" customHeight="1">
      <c r="A472" s="61" t="s">
        <v>2680</v>
      </c>
      <c r="B472" s="62" t="s">
        <v>2644</v>
      </c>
      <c r="C472" s="62" t="s">
        <v>2681</v>
      </c>
      <c r="D472" s="13" t="s">
        <v>81</v>
      </c>
      <c r="E472" s="62" t="s">
        <v>2646</v>
      </c>
      <c r="F472" s="62" t="s">
        <v>2682</v>
      </c>
      <c r="G472" s="62" t="s">
        <v>2683</v>
      </c>
      <c r="H472" s="62" t="s">
        <v>2684</v>
      </c>
      <c r="I472" s="62" t="s">
        <v>2650</v>
      </c>
      <c r="J472" s="63">
        <v>255</v>
      </c>
      <c r="K472" s="64">
        <f t="shared" si="21"/>
        <v>5.0999999999999996</v>
      </c>
      <c r="L472" s="64">
        <v>50</v>
      </c>
      <c r="M472" s="64">
        <v>4.5</v>
      </c>
      <c r="N472" s="65">
        <f t="shared" si="22"/>
        <v>56.666666666666664</v>
      </c>
      <c r="O472" s="66">
        <v>94.56</v>
      </c>
      <c r="P472" s="67">
        <f t="shared" si="23"/>
        <v>5358.4</v>
      </c>
      <c r="Q472" s="62" t="s">
        <v>27</v>
      </c>
      <c r="R472" s="61" t="s">
        <v>28</v>
      </c>
      <c r="S472" s="61" t="s">
        <v>86</v>
      </c>
    </row>
    <row r="473" spans="1:19" ht="18" customHeight="1">
      <c r="A473" s="61" t="s">
        <v>2685</v>
      </c>
      <c r="B473" s="62" t="s">
        <v>2644</v>
      </c>
      <c r="C473" s="62" t="s">
        <v>2686</v>
      </c>
      <c r="D473" s="11" t="s">
        <v>59</v>
      </c>
      <c r="E473" s="62" t="s">
        <v>2687</v>
      </c>
      <c r="F473" s="62" t="s">
        <v>2688</v>
      </c>
      <c r="G473" s="62" t="s">
        <v>2689</v>
      </c>
      <c r="H473" s="62" t="s">
        <v>2687</v>
      </c>
      <c r="I473" s="62" t="s">
        <v>2690</v>
      </c>
      <c r="J473" s="63">
        <v>55</v>
      </c>
      <c r="K473" s="64">
        <f t="shared" si="21"/>
        <v>2.2000000000000002</v>
      </c>
      <c r="L473" s="64">
        <v>25</v>
      </c>
      <c r="M473" s="64">
        <v>3</v>
      </c>
      <c r="N473" s="65">
        <f t="shared" si="22"/>
        <v>18.333333333333332</v>
      </c>
      <c r="O473" s="66">
        <v>94.56</v>
      </c>
      <c r="P473" s="67">
        <f t="shared" si="23"/>
        <v>1733.6</v>
      </c>
      <c r="Q473" s="62" t="s">
        <v>27</v>
      </c>
      <c r="R473" s="61" t="s">
        <v>28</v>
      </c>
      <c r="S473" s="61" t="s">
        <v>524</v>
      </c>
    </row>
    <row r="474" spans="1:19" ht="18" customHeight="1">
      <c r="A474" s="61" t="s">
        <v>2691</v>
      </c>
      <c r="B474" s="62" t="s">
        <v>2644</v>
      </c>
      <c r="C474" s="62" t="s">
        <v>2692</v>
      </c>
      <c r="D474" s="11" t="s">
        <v>59</v>
      </c>
      <c r="E474" s="62" t="s">
        <v>2664</v>
      </c>
      <c r="F474" s="62" t="s">
        <v>2693</v>
      </c>
      <c r="G474" s="62" t="s">
        <v>2694</v>
      </c>
      <c r="H474" s="62" t="s">
        <v>2664</v>
      </c>
      <c r="I474" s="62" t="s">
        <v>2695</v>
      </c>
      <c r="J474" s="63">
        <v>90</v>
      </c>
      <c r="K474" s="64">
        <f t="shared" si="21"/>
        <v>3.6</v>
      </c>
      <c r="L474" s="64">
        <v>25</v>
      </c>
      <c r="M474" s="64">
        <v>3</v>
      </c>
      <c r="N474" s="65">
        <f t="shared" si="22"/>
        <v>30</v>
      </c>
      <c r="O474" s="66">
        <v>94.56</v>
      </c>
      <c r="P474" s="67">
        <f t="shared" si="23"/>
        <v>2836.8</v>
      </c>
      <c r="Q474" s="62" t="s">
        <v>64</v>
      </c>
      <c r="R474" s="61" t="s">
        <v>28</v>
      </c>
      <c r="S474" s="61" t="s">
        <v>524</v>
      </c>
    </row>
    <row r="475" spans="1:19" ht="18" customHeight="1">
      <c r="A475" s="61" t="s">
        <v>2696</v>
      </c>
      <c r="B475" s="62" t="s">
        <v>2644</v>
      </c>
      <c r="C475" s="62" t="s">
        <v>2697</v>
      </c>
      <c r="D475" s="12" t="s">
        <v>67</v>
      </c>
      <c r="E475" s="62" t="s">
        <v>2698</v>
      </c>
      <c r="F475" s="62" t="s">
        <v>2699</v>
      </c>
      <c r="G475" s="62" t="s">
        <v>2700</v>
      </c>
      <c r="H475" s="62" t="s">
        <v>2701</v>
      </c>
      <c r="I475" s="62" t="s">
        <v>2650</v>
      </c>
      <c r="J475" s="63">
        <v>45</v>
      </c>
      <c r="K475" s="64">
        <f t="shared" si="21"/>
        <v>1.125</v>
      </c>
      <c r="L475" s="64">
        <v>40</v>
      </c>
      <c r="M475" s="64">
        <v>3.5</v>
      </c>
      <c r="N475" s="65">
        <f t="shared" si="22"/>
        <v>12.857142857142858</v>
      </c>
      <c r="O475" s="66">
        <v>94.56</v>
      </c>
      <c r="P475" s="67">
        <f t="shared" si="23"/>
        <v>1215.7714285714287</v>
      </c>
      <c r="Q475" s="62" t="s">
        <v>64</v>
      </c>
      <c r="R475" s="61" t="s">
        <v>28</v>
      </c>
      <c r="S475" s="61" t="s">
        <v>2609</v>
      </c>
    </row>
    <row r="476" spans="1:19" ht="18" customHeight="1">
      <c r="A476" s="61" t="s">
        <v>2702</v>
      </c>
      <c r="B476" s="62" t="s">
        <v>2644</v>
      </c>
      <c r="C476" s="62" t="s">
        <v>2703</v>
      </c>
      <c r="D476" s="12" t="s">
        <v>67</v>
      </c>
      <c r="E476" s="62" t="s">
        <v>2704</v>
      </c>
      <c r="F476" s="62" t="s">
        <v>2670</v>
      </c>
      <c r="G476" s="62" t="s">
        <v>2705</v>
      </c>
      <c r="H476" s="62" t="s">
        <v>2670</v>
      </c>
      <c r="I476" s="62" t="s">
        <v>2673</v>
      </c>
      <c r="J476" s="63">
        <v>50</v>
      </c>
      <c r="K476" s="64">
        <f t="shared" si="21"/>
        <v>1.25</v>
      </c>
      <c r="L476" s="64">
        <v>40</v>
      </c>
      <c r="M476" s="64">
        <v>3.5</v>
      </c>
      <c r="N476" s="65">
        <f t="shared" si="22"/>
        <v>14.285714285714286</v>
      </c>
      <c r="O476" s="66">
        <v>94.56</v>
      </c>
      <c r="P476" s="67">
        <f t="shared" si="23"/>
        <v>1350.8571428571429</v>
      </c>
      <c r="Q476" s="62" t="s">
        <v>27</v>
      </c>
      <c r="R476" s="61" t="s">
        <v>28</v>
      </c>
      <c r="S476" s="61" t="s">
        <v>2609</v>
      </c>
    </row>
    <row r="477" spans="1:19" ht="18" customHeight="1">
      <c r="A477" s="61" t="s">
        <v>2706</v>
      </c>
      <c r="B477" s="62" t="s">
        <v>2644</v>
      </c>
      <c r="C477" s="62" t="s">
        <v>2707</v>
      </c>
      <c r="D477" s="4" t="s">
        <v>22</v>
      </c>
      <c r="E477" s="62" t="s">
        <v>2708</v>
      </c>
      <c r="F477" s="62" t="s">
        <v>2709</v>
      </c>
      <c r="G477" s="62" t="s">
        <v>2710</v>
      </c>
      <c r="H477" s="62" t="s">
        <v>2708</v>
      </c>
      <c r="I477" s="62" t="s">
        <v>2711</v>
      </c>
      <c r="J477" s="63">
        <v>35</v>
      </c>
      <c r="K477" s="64">
        <f t="shared" si="21"/>
        <v>0.77777777777777779</v>
      </c>
      <c r="L477" s="64">
        <v>45</v>
      </c>
      <c r="M477" s="64">
        <v>4</v>
      </c>
      <c r="N477" s="65">
        <f t="shared" si="22"/>
        <v>8.75</v>
      </c>
      <c r="O477" s="66">
        <v>94.56</v>
      </c>
      <c r="P477" s="67">
        <f t="shared" si="23"/>
        <v>827.4</v>
      </c>
      <c r="Q477" s="62" t="s">
        <v>27</v>
      </c>
      <c r="R477" s="61" t="s">
        <v>28</v>
      </c>
      <c r="S477" s="61" t="s">
        <v>2609</v>
      </c>
    </row>
    <row r="478" spans="1:19" ht="18" customHeight="1">
      <c r="A478" s="61" t="s">
        <v>2712</v>
      </c>
      <c r="B478" s="62" t="s">
        <v>2644</v>
      </c>
      <c r="C478" s="62" t="s">
        <v>2713</v>
      </c>
      <c r="D478" s="4" t="s">
        <v>22</v>
      </c>
      <c r="E478" s="62" t="s">
        <v>2646</v>
      </c>
      <c r="F478" s="62" t="s">
        <v>2714</v>
      </c>
      <c r="G478" s="62" t="s">
        <v>2715</v>
      </c>
      <c r="H478" s="62" t="s">
        <v>2716</v>
      </c>
      <c r="I478" s="62" t="s">
        <v>2650</v>
      </c>
      <c r="J478" s="63">
        <v>70</v>
      </c>
      <c r="K478" s="64">
        <f t="shared" si="21"/>
        <v>1.5555555555555556</v>
      </c>
      <c r="L478" s="64">
        <v>45</v>
      </c>
      <c r="M478" s="64">
        <v>4</v>
      </c>
      <c r="N478" s="65">
        <f t="shared" si="22"/>
        <v>17.5</v>
      </c>
      <c r="O478" s="66">
        <v>94.56</v>
      </c>
      <c r="P478" s="67">
        <f t="shared" si="23"/>
        <v>1654.8</v>
      </c>
      <c r="Q478" s="62" t="s">
        <v>27</v>
      </c>
      <c r="R478" s="61" t="s">
        <v>28</v>
      </c>
      <c r="S478" s="61" t="s">
        <v>2609</v>
      </c>
    </row>
    <row r="479" spans="1:19" ht="18" customHeight="1">
      <c r="A479" s="61" t="s">
        <v>2717</v>
      </c>
      <c r="B479" s="62" t="s">
        <v>2644</v>
      </c>
      <c r="C479" s="62" t="s">
        <v>2718</v>
      </c>
      <c r="D479" s="10" t="s">
        <v>45</v>
      </c>
      <c r="E479" s="62" t="s">
        <v>2719</v>
      </c>
      <c r="F479" s="62" t="s">
        <v>2720</v>
      </c>
      <c r="G479" s="62" t="s">
        <v>2708</v>
      </c>
      <c r="H479" s="62" t="s">
        <v>2708</v>
      </c>
      <c r="I479" s="62" t="s">
        <v>2721</v>
      </c>
      <c r="J479" s="63">
        <v>15</v>
      </c>
      <c r="K479" s="64">
        <f t="shared" si="21"/>
        <v>0.75</v>
      </c>
      <c r="L479" s="64">
        <v>20</v>
      </c>
      <c r="M479" s="64">
        <v>3.5</v>
      </c>
      <c r="N479" s="65">
        <f t="shared" si="22"/>
        <v>4.2857142857142856</v>
      </c>
      <c r="O479" s="66">
        <v>94.56</v>
      </c>
      <c r="P479" s="67">
        <f t="shared" si="23"/>
        <v>405.25714285714287</v>
      </c>
      <c r="Q479" s="62" t="s">
        <v>37</v>
      </c>
      <c r="R479" s="61" t="s">
        <v>28</v>
      </c>
      <c r="S479" s="61" t="s">
        <v>2609</v>
      </c>
    </row>
    <row r="480" spans="1:19" ht="18" customHeight="1">
      <c r="A480" s="61" t="s">
        <v>2722</v>
      </c>
      <c r="B480" s="62" t="s">
        <v>2644</v>
      </c>
      <c r="C480" s="62" t="s">
        <v>2723</v>
      </c>
      <c r="D480" s="10" t="s">
        <v>45</v>
      </c>
      <c r="E480" s="62" t="s">
        <v>2724</v>
      </c>
      <c r="F480" s="62" t="s">
        <v>1309</v>
      </c>
      <c r="G480" s="62" t="s">
        <v>2659</v>
      </c>
      <c r="H480" s="62" t="s">
        <v>2659</v>
      </c>
      <c r="I480" s="62" t="s">
        <v>2725</v>
      </c>
      <c r="J480" s="63">
        <v>10</v>
      </c>
      <c r="K480" s="64">
        <f t="shared" si="21"/>
        <v>0.5</v>
      </c>
      <c r="L480" s="64">
        <v>20</v>
      </c>
      <c r="M480" s="64">
        <v>3.5</v>
      </c>
      <c r="N480" s="65">
        <f t="shared" si="22"/>
        <v>2.8571428571428572</v>
      </c>
      <c r="O480" s="66">
        <v>94.56</v>
      </c>
      <c r="P480" s="67">
        <f t="shared" si="23"/>
        <v>270.17142857142858</v>
      </c>
      <c r="Q480" s="62" t="s">
        <v>37</v>
      </c>
      <c r="R480" s="61" t="s">
        <v>28</v>
      </c>
      <c r="S480" s="61" t="s">
        <v>2609</v>
      </c>
    </row>
    <row r="481" spans="1:19" ht="18" customHeight="1">
      <c r="A481" s="61" t="s">
        <v>2726</v>
      </c>
      <c r="B481" s="62" t="s">
        <v>2644</v>
      </c>
      <c r="C481" s="62" t="s">
        <v>2727</v>
      </c>
      <c r="D481" s="11" t="s">
        <v>59</v>
      </c>
      <c r="E481" s="62" t="s">
        <v>2728</v>
      </c>
      <c r="F481" s="62" t="s">
        <v>2729</v>
      </c>
      <c r="G481" s="62" t="s">
        <v>2730</v>
      </c>
      <c r="H481" s="62" t="s">
        <v>2731</v>
      </c>
      <c r="I481" s="62" t="s">
        <v>2732</v>
      </c>
      <c r="J481" s="63">
        <v>80</v>
      </c>
      <c r="K481" s="64">
        <f t="shared" si="21"/>
        <v>3.2</v>
      </c>
      <c r="L481" s="64">
        <v>25</v>
      </c>
      <c r="M481" s="64">
        <v>3</v>
      </c>
      <c r="N481" s="65">
        <f t="shared" si="22"/>
        <v>26.666666666666668</v>
      </c>
      <c r="O481" s="66">
        <v>94.56</v>
      </c>
      <c r="P481" s="67">
        <f t="shared" si="23"/>
        <v>2521.6000000000004</v>
      </c>
      <c r="Q481" s="62" t="s">
        <v>64</v>
      </c>
      <c r="R481" s="61" t="s">
        <v>28</v>
      </c>
      <c r="S481" s="61" t="s">
        <v>138</v>
      </c>
    </row>
    <row r="482" spans="1:19" ht="18" customHeight="1">
      <c r="A482" s="61" t="s">
        <v>2733</v>
      </c>
      <c r="B482" s="62" t="s">
        <v>2644</v>
      </c>
      <c r="C482" s="62" t="s">
        <v>2734</v>
      </c>
      <c r="D482" s="11" t="s">
        <v>59</v>
      </c>
      <c r="E482" s="62" t="s">
        <v>2735</v>
      </c>
      <c r="F482" s="62" t="s">
        <v>2736</v>
      </c>
      <c r="G482" s="62" t="s">
        <v>2737</v>
      </c>
      <c r="H482" s="62" t="s">
        <v>2735</v>
      </c>
      <c r="I482" s="62" t="s">
        <v>2650</v>
      </c>
      <c r="J482" s="63">
        <v>45</v>
      </c>
      <c r="K482" s="64">
        <f t="shared" si="21"/>
        <v>1.8</v>
      </c>
      <c r="L482" s="64">
        <v>25</v>
      </c>
      <c r="M482" s="64">
        <v>3</v>
      </c>
      <c r="N482" s="65">
        <f t="shared" si="22"/>
        <v>15</v>
      </c>
      <c r="O482" s="66">
        <v>94.56</v>
      </c>
      <c r="P482" s="67">
        <f t="shared" si="23"/>
        <v>1418.4</v>
      </c>
      <c r="Q482" s="62" t="s">
        <v>64</v>
      </c>
      <c r="R482" s="61" t="s">
        <v>28</v>
      </c>
      <c r="S482" s="61" t="s">
        <v>138</v>
      </c>
    </row>
    <row r="483" spans="1:19" ht="18" customHeight="1">
      <c r="A483" s="110" t="s">
        <v>2738</v>
      </c>
      <c r="B483" s="111" t="s">
        <v>2739</v>
      </c>
      <c r="C483" s="111" t="s">
        <v>2740</v>
      </c>
      <c r="D483" s="13" t="s">
        <v>81</v>
      </c>
      <c r="E483" s="111" t="s">
        <v>2741</v>
      </c>
      <c r="F483" s="111" t="s">
        <v>2742</v>
      </c>
      <c r="G483" s="111" t="s">
        <v>2743</v>
      </c>
      <c r="H483" s="111" t="s">
        <v>2744</v>
      </c>
      <c r="I483" s="111" t="s">
        <v>2745</v>
      </c>
      <c r="J483" s="112">
        <v>90</v>
      </c>
      <c r="K483" s="113">
        <f t="shared" si="21"/>
        <v>1.8</v>
      </c>
      <c r="L483" s="113">
        <v>50</v>
      </c>
      <c r="M483" s="113">
        <v>4.5</v>
      </c>
      <c r="N483" s="114">
        <f t="shared" si="22"/>
        <v>20</v>
      </c>
      <c r="O483" s="115">
        <v>94.56</v>
      </c>
      <c r="P483" s="116">
        <f t="shared" si="23"/>
        <v>1891.2</v>
      </c>
      <c r="Q483" s="111" t="s">
        <v>27</v>
      </c>
      <c r="R483" s="110" t="s">
        <v>85</v>
      </c>
      <c r="S483" s="110" t="s">
        <v>86</v>
      </c>
    </row>
    <row r="484" spans="1:19" ht="18" customHeight="1">
      <c r="A484" s="110" t="s">
        <v>2746</v>
      </c>
      <c r="B484" s="111" t="s">
        <v>2739</v>
      </c>
      <c r="C484" s="111" t="s">
        <v>2747</v>
      </c>
      <c r="D484" s="13" t="s">
        <v>81</v>
      </c>
      <c r="E484" s="111" t="s">
        <v>2748</v>
      </c>
      <c r="F484" s="111" t="s">
        <v>2749</v>
      </c>
      <c r="G484" s="111" t="s">
        <v>2750</v>
      </c>
      <c r="H484" s="111" t="s">
        <v>2751</v>
      </c>
      <c r="I484" s="111" t="s">
        <v>2752</v>
      </c>
      <c r="J484" s="112">
        <v>600</v>
      </c>
      <c r="K484" s="113">
        <f t="shared" si="21"/>
        <v>12</v>
      </c>
      <c r="L484" s="113">
        <v>50</v>
      </c>
      <c r="M484" s="113">
        <v>4.5</v>
      </c>
      <c r="N484" s="114">
        <f t="shared" si="22"/>
        <v>133.33333333333334</v>
      </c>
      <c r="O484" s="115">
        <v>94.56</v>
      </c>
      <c r="P484" s="116">
        <f t="shared" si="23"/>
        <v>12608.000000000002</v>
      </c>
      <c r="Q484" s="111" t="s">
        <v>37</v>
      </c>
      <c r="R484" s="110" t="s">
        <v>85</v>
      </c>
      <c r="S484" s="110" t="s">
        <v>86</v>
      </c>
    </row>
    <row r="485" spans="1:19" ht="18" customHeight="1">
      <c r="A485" s="110" t="s">
        <v>2753</v>
      </c>
      <c r="B485" s="111" t="s">
        <v>2739</v>
      </c>
      <c r="C485" s="111" t="s">
        <v>2754</v>
      </c>
      <c r="D485" s="13" t="s">
        <v>81</v>
      </c>
      <c r="E485" s="111" t="s">
        <v>2748</v>
      </c>
      <c r="F485" s="111" t="s">
        <v>2755</v>
      </c>
      <c r="G485" s="111" t="s">
        <v>2756</v>
      </c>
      <c r="H485" s="111" t="s">
        <v>2757</v>
      </c>
      <c r="I485" s="111" t="s">
        <v>2758</v>
      </c>
      <c r="J485" s="112">
        <v>250</v>
      </c>
      <c r="K485" s="113">
        <f t="shared" si="21"/>
        <v>5</v>
      </c>
      <c r="L485" s="113">
        <v>50</v>
      </c>
      <c r="M485" s="113">
        <v>4.5</v>
      </c>
      <c r="N485" s="114">
        <f t="shared" si="22"/>
        <v>55.555555555555557</v>
      </c>
      <c r="O485" s="115">
        <v>94.56</v>
      </c>
      <c r="P485" s="116">
        <f t="shared" si="23"/>
        <v>5253.3333333333339</v>
      </c>
      <c r="Q485" s="111" t="s">
        <v>37</v>
      </c>
      <c r="R485" s="110" t="s">
        <v>85</v>
      </c>
      <c r="S485" s="110" t="s">
        <v>86</v>
      </c>
    </row>
    <row r="486" spans="1:19" ht="18" customHeight="1">
      <c r="A486" s="110" t="s">
        <v>2759</v>
      </c>
      <c r="B486" s="111" t="s">
        <v>2739</v>
      </c>
      <c r="C486" s="111" t="s">
        <v>2760</v>
      </c>
      <c r="D486" s="13" t="s">
        <v>81</v>
      </c>
      <c r="E486" s="111" t="s">
        <v>2749</v>
      </c>
      <c r="F486" s="111" t="s">
        <v>2761</v>
      </c>
      <c r="G486" s="111" t="s">
        <v>2762</v>
      </c>
      <c r="H486" s="111" t="s">
        <v>2763</v>
      </c>
      <c r="I486" s="111" t="s">
        <v>2752</v>
      </c>
      <c r="J486" s="112">
        <v>55</v>
      </c>
      <c r="K486" s="113">
        <f t="shared" si="21"/>
        <v>1.1000000000000001</v>
      </c>
      <c r="L486" s="113">
        <v>50</v>
      </c>
      <c r="M486" s="113">
        <v>4.5</v>
      </c>
      <c r="N486" s="114">
        <f t="shared" si="22"/>
        <v>12.222222222222221</v>
      </c>
      <c r="O486" s="115">
        <v>94.56</v>
      </c>
      <c r="P486" s="116">
        <f t="shared" si="23"/>
        <v>1155.7333333333333</v>
      </c>
      <c r="Q486" s="111" t="s">
        <v>37</v>
      </c>
      <c r="R486" s="110" t="s">
        <v>85</v>
      </c>
      <c r="S486" s="110" t="s">
        <v>86</v>
      </c>
    </row>
    <row r="487" spans="1:19" ht="18" customHeight="1">
      <c r="A487" s="110" t="s">
        <v>2764</v>
      </c>
      <c r="B487" s="111" t="s">
        <v>2739</v>
      </c>
      <c r="C487" s="111" t="s">
        <v>2765</v>
      </c>
      <c r="D487" s="13" t="s">
        <v>81</v>
      </c>
      <c r="E487" s="111" t="s">
        <v>2748</v>
      </c>
      <c r="F487" s="111" t="s">
        <v>2766</v>
      </c>
      <c r="G487" s="111" t="s">
        <v>2767</v>
      </c>
      <c r="H487" s="111" t="s">
        <v>2768</v>
      </c>
      <c r="I487" s="111" t="s">
        <v>2752</v>
      </c>
      <c r="J487" s="112">
        <v>370</v>
      </c>
      <c r="K487" s="113">
        <f t="shared" si="21"/>
        <v>7.4</v>
      </c>
      <c r="L487" s="113">
        <v>50</v>
      </c>
      <c r="M487" s="113">
        <v>4.5</v>
      </c>
      <c r="N487" s="114">
        <f t="shared" si="22"/>
        <v>82.222222222222229</v>
      </c>
      <c r="O487" s="115">
        <v>94.56</v>
      </c>
      <c r="P487" s="116">
        <f t="shared" si="23"/>
        <v>7774.9333333333343</v>
      </c>
      <c r="Q487" s="111" t="s">
        <v>27</v>
      </c>
      <c r="R487" s="110" t="s">
        <v>85</v>
      </c>
      <c r="S487" s="110" t="s">
        <v>86</v>
      </c>
    </row>
    <row r="488" spans="1:19" ht="18" customHeight="1">
      <c r="A488" s="110" t="s">
        <v>2769</v>
      </c>
      <c r="B488" s="111" t="s">
        <v>2739</v>
      </c>
      <c r="C488" s="111" t="s">
        <v>2770</v>
      </c>
      <c r="D488" s="13" t="s">
        <v>81</v>
      </c>
      <c r="E488" s="111" t="s">
        <v>2771</v>
      </c>
      <c r="F488" s="111" t="s">
        <v>2772</v>
      </c>
      <c r="G488" s="111" t="s">
        <v>2773</v>
      </c>
      <c r="H488" s="111" t="s">
        <v>2774</v>
      </c>
      <c r="I488" s="111" t="s">
        <v>2758</v>
      </c>
      <c r="J488" s="112">
        <v>125</v>
      </c>
      <c r="K488" s="113">
        <f t="shared" si="21"/>
        <v>2.5</v>
      </c>
      <c r="L488" s="113">
        <v>50</v>
      </c>
      <c r="M488" s="113">
        <v>4.5</v>
      </c>
      <c r="N488" s="114">
        <f t="shared" si="22"/>
        <v>27.777777777777779</v>
      </c>
      <c r="O488" s="115">
        <v>94.56</v>
      </c>
      <c r="P488" s="116">
        <f t="shared" si="23"/>
        <v>2626.666666666667</v>
      </c>
      <c r="Q488" s="111" t="s">
        <v>37</v>
      </c>
      <c r="R488" s="110" t="s">
        <v>85</v>
      </c>
      <c r="S488" s="110" t="s">
        <v>86</v>
      </c>
    </row>
    <row r="489" spans="1:19" ht="18" customHeight="1">
      <c r="A489" s="110" t="s">
        <v>2775</v>
      </c>
      <c r="B489" s="111" t="s">
        <v>2739</v>
      </c>
      <c r="C489" s="111" t="s">
        <v>2776</v>
      </c>
      <c r="D489" s="11" t="s">
        <v>59</v>
      </c>
      <c r="E489" s="111" t="s">
        <v>2777</v>
      </c>
      <c r="F489" s="111" t="s">
        <v>2778</v>
      </c>
      <c r="G489" s="111" t="s">
        <v>2779</v>
      </c>
      <c r="H489" s="111" t="s">
        <v>2777</v>
      </c>
      <c r="I489" s="111" t="s">
        <v>2780</v>
      </c>
      <c r="J489" s="112">
        <v>40</v>
      </c>
      <c r="K489" s="113">
        <f t="shared" si="21"/>
        <v>1.6</v>
      </c>
      <c r="L489" s="113">
        <v>25</v>
      </c>
      <c r="M489" s="113">
        <v>3</v>
      </c>
      <c r="N489" s="114">
        <f t="shared" si="22"/>
        <v>13.333333333333334</v>
      </c>
      <c r="O489" s="115">
        <v>94.56</v>
      </c>
      <c r="P489" s="116">
        <f t="shared" si="23"/>
        <v>1260.8000000000002</v>
      </c>
      <c r="Q489" s="111" t="s">
        <v>27</v>
      </c>
      <c r="R489" s="110" t="s">
        <v>28</v>
      </c>
      <c r="S489" s="110" t="s">
        <v>524</v>
      </c>
    </row>
    <row r="490" spans="1:19" ht="18" customHeight="1">
      <c r="A490" s="110" t="s">
        <v>2781</v>
      </c>
      <c r="B490" s="111" t="s">
        <v>2739</v>
      </c>
      <c r="C490" s="111" t="s">
        <v>2782</v>
      </c>
      <c r="D490" s="11" t="s">
        <v>59</v>
      </c>
      <c r="E490" s="111" t="s">
        <v>2783</v>
      </c>
      <c r="F490" s="111" t="s">
        <v>2784</v>
      </c>
      <c r="G490" s="111" t="s">
        <v>2785</v>
      </c>
      <c r="H490" s="111" t="s">
        <v>2786</v>
      </c>
      <c r="I490" s="111" t="s">
        <v>2787</v>
      </c>
      <c r="J490" s="112">
        <v>55</v>
      </c>
      <c r="K490" s="113">
        <f t="shared" si="21"/>
        <v>2.2000000000000002</v>
      </c>
      <c r="L490" s="113">
        <v>25</v>
      </c>
      <c r="M490" s="113">
        <v>3</v>
      </c>
      <c r="N490" s="114">
        <f t="shared" si="22"/>
        <v>18.333333333333332</v>
      </c>
      <c r="O490" s="115">
        <v>94.56</v>
      </c>
      <c r="P490" s="116">
        <f t="shared" si="23"/>
        <v>1733.6</v>
      </c>
      <c r="Q490" s="111" t="s">
        <v>27</v>
      </c>
      <c r="R490" s="110" t="s">
        <v>28</v>
      </c>
      <c r="S490" s="110" t="s">
        <v>524</v>
      </c>
    </row>
    <row r="491" spans="1:19" ht="18" customHeight="1">
      <c r="A491" s="110" t="s">
        <v>2788</v>
      </c>
      <c r="B491" s="111" t="s">
        <v>2739</v>
      </c>
      <c r="C491" s="111" t="s">
        <v>2789</v>
      </c>
      <c r="D491" s="11" t="s">
        <v>59</v>
      </c>
      <c r="E491" s="111" t="s">
        <v>2790</v>
      </c>
      <c r="F491" s="111" t="s">
        <v>2791</v>
      </c>
      <c r="G491" s="111" t="s">
        <v>2792</v>
      </c>
      <c r="H491" s="111" t="s">
        <v>2793</v>
      </c>
      <c r="I491" s="111" t="s">
        <v>2794</v>
      </c>
      <c r="J491" s="112">
        <v>60</v>
      </c>
      <c r="K491" s="113">
        <f t="shared" si="21"/>
        <v>2.4</v>
      </c>
      <c r="L491" s="113">
        <v>25</v>
      </c>
      <c r="M491" s="113">
        <v>3</v>
      </c>
      <c r="N491" s="114">
        <f t="shared" si="22"/>
        <v>20</v>
      </c>
      <c r="O491" s="115">
        <v>94.56</v>
      </c>
      <c r="P491" s="116">
        <f t="shared" si="23"/>
        <v>1891.2</v>
      </c>
      <c r="Q491" s="111" t="s">
        <v>64</v>
      </c>
      <c r="R491" s="110" t="s">
        <v>28</v>
      </c>
      <c r="S491" s="110" t="s">
        <v>524</v>
      </c>
    </row>
    <row r="492" spans="1:19" ht="18" customHeight="1">
      <c r="A492" s="110" t="s">
        <v>2795</v>
      </c>
      <c r="B492" s="111" t="s">
        <v>2739</v>
      </c>
      <c r="C492" s="111" t="s">
        <v>2796</v>
      </c>
      <c r="D492" s="4" t="s">
        <v>22</v>
      </c>
      <c r="E492" s="111" t="s">
        <v>2797</v>
      </c>
      <c r="F492" s="111" t="s">
        <v>2798</v>
      </c>
      <c r="G492" s="111" t="s">
        <v>2799</v>
      </c>
      <c r="H492" s="111" t="s">
        <v>2800</v>
      </c>
      <c r="I492" s="111" t="s">
        <v>2801</v>
      </c>
      <c r="J492" s="112">
        <v>55</v>
      </c>
      <c r="K492" s="113">
        <f t="shared" si="21"/>
        <v>1.2222222222222223</v>
      </c>
      <c r="L492" s="113">
        <v>45</v>
      </c>
      <c r="M492" s="113">
        <v>4</v>
      </c>
      <c r="N492" s="114">
        <f t="shared" si="22"/>
        <v>13.75</v>
      </c>
      <c r="O492" s="115">
        <v>94.56</v>
      </c>
      <c r="P492" s="116">
        <f t="shared" si="23"/>
        <v>1300.2</v>
      </c>
      <c r="Q492" s="111" t="s">
        <v>27</v>
      </c>
      <c r="R492" s="110" t="s">
        <v>28</v>
      </c>
      <c r="S492" s="110" t="s">
        <v>125</v>
      </c>
    </row>
    <row r="493" spans="1:19" ht="18" customHeight="1">
      <c r="A493" s="110" t="s">
        <v>2802</v>
      </c>
      <c r="B493" s="111" t="s">
        <v>2739</v>
      </c>
      <c r="C493" s="111" t="s">
        <v>2803</v>
      </c>
      <c r="D493" s="11" t="s">
        <v>59</v>
      </c>
      <c r="E493" s="111" t="s">
        <v>2804</v>
      </c>
      <c r="F493" s="111" t="s">
        <v>2805</v>
      </c>
      <c r="G493" s="111" t="s">
        <v>2806</v>
      </c>
      <c r="H493" s="111" t="s">
        <v>2804</v>
      </c>
      <c r="I493" s="111" t="s">
        <v>2807</v>
      </c>
      <c r="J493" s="112">
        <v>45</v>
      </c>
      <c r="K493" s="113">
        <f t="shared" si="21"/>
        <v>1.8</v>
      </c>
      <c r="L493" s="113">
        <v>25</v>
      </c>
      <c r="M493" s="113">
        <v>3</v>
      </c>
      <c r="N493" s="114">
        <f t="shared" si="22"/>
        <v>15</v>
      </c>
      <c r="O493" s="115">
        <v>94.56</v>
      </c>
      <c r="P493" s="116">
        <f t="shared" si="23"/>
        <v>1418.4</v>
      </c>
      <c r="Q493" s="111" t="s">
        <v>64</v>
      </c>
      <c r="R493" s="110" t="s">
        <v>28</v>
      </c>
      <c r="S493" s="110" t="s">
        <v>138</v>
      </c>
    </row>
    <row r="494" spans="1:19" ht="18" customHeight="1">
      <c r="A494" s="110" t="s">
        <v>2808</v>
      </c>
      <c r="B494" s="111" t="s">
        <v>2739</v>
      </c>
      <c r="C494" s="111" t="s">
        <v>2809</v>
      </c>
      <c r="D494" s="12" t="s">
        <v>67</v>
      </c>
      <c r="E494" s="111" t="s">
        <v>2810</v>
      </c>
      <c r="F494" s="111" t="s">
        <v>2811</v>
      </c>
      <c r="G494" s="111" t="s">
        <v>2812</v>
      </c>
      <c r="H494" s="111" t="s">
        <v>2800</v>
      </c>
      <c r="I494" s="111" t="s">
        <v>2745</v>
      </c>
      <c r="J494" s="112">
        <v>40</v>
      </c>
      <c r="K494" s="113">
        <f t="shared" si="21"/>
        <v>1</v>
      </c>
      <c r="L494" s="113">
        <v>40</v>
      </c>
      <c r="M494" s="113">
        <v>3.5</v>
      </c>
      <c r="N494" s="114">
        <f t="shared" si="22"/>
        <v>11.428571428571429</v>
      </c>
      <c r="O494" s="115">
        <v>94.56</v>
      </c>
      <c r="P494" s="116">
        <f t="shared" si="23"/>
        <v>1080.6857142857143</v>
      </c>
      <c r="Q494" s="111" t="s">
        <v>27</v>
      </c>
      <c r="R494" s="110" t="s">
        <v>28</v>
      </c>
      <c r="S494" s="110" t="s">
        <v>2813</v>
      </c>
    </row>
    <row r="495" spans="1:19" ht="18" customHeight="1">
      <c r="A495" s="110" t="s">
        <v>2814</v>
      </c>
      <c r="B495" s="111" t="s">
        <v>2739</v>
      </c>
      <c r="C495" s="111" t="s">
        <v>2815</v>
      </c>
      <c r="D495" s="12" t="s">
        <v>67</v>
      </c>
      <c r="E495" s="111" t="s">
        <v>2816</v>
      </c>
      <c r="F495" s="111" t="s">
        <v>2817</v>
      </c>
      <c r="G495" s="111" t="s">
        <v>2818</v>
      </c>
      <c r="H495" s="111" t="s">
        <v>2819</v>
      </c>
      <c r="I495" s="111" t="s">
        <v>523</v>
      </c>
      <c r="J495" s="112">
        <v>20</v>
      </c>
      <c r="K495" s="113">
        <f t="shared" si="21"/>
        <v>0.5</v>
      </c>
      <c r="L495" s="113">
        <v>40</v>
      </c>
      <c r="M495" s="113">
        <v>3.5</v>
      </c>
      <c r="N495" s="114">
        <f t="shared" si="22"/>
        <v>5.7142857142857144</v>
      </c>
      <c r="O495" s="115">
        <v>94.56</v>
      </c>
      <c r="P495" s="116">
        <f t="shared" si="23"/>
        <v>540.34285714285716</v>
      </c>
      <c r="Q495" s="111" t="s">
        <v>37</v>
      </c>
      <c r="R495" s="110" t="s">
        <v>28</v>
      </c>
      <c r="S495" s="110" t="s">
        <v>2813</v>
      </c>
    </row>
    <row r="496" spans="1:19" ht="18" customHeight="1">
      <c r="A496" s="110" t="s">
        <v>2820</v>
      </c>
      <c r="B496" s="111" t="s">
        <v>2739</v>
      </c>
      <c r="C496" s="111" t="s">
        <v>2821</v>
      </c>
      <c r="D496" s="4" t="s">
        <v>22</v>
      </c>
      <c r="E496" s="111" t="s">
        <v>2749</v>
      </c>
      <c r="F496" s="111" t="s">
        <v>2761</v>
      </c>
      <c r="G496" s="111" t="s">
        <v>2762</v>
      </c>
      <c r="H496" s="111" t="s">
        <v>2763</v>
      </c>
      <c r="I496" s="111" t="s">
        <v>2745</v>
      </c>
      <c r="J496" s="112">
        <v>55</v>
      </c>
      <c r="K496" s="113">
        <f t="shared" si="21"/>
        <v>1.2222222222222223</v>
      </c>
      <c r="L496" s="113">
        <v>45</v>
      </c>
      <c r="M496" s="113">
        <v>4</v>
      </c>
      <c r="N496" s="114">
        <f t="shared" si="22"/>
        <v>13.75</v>
      </c>
      <c r="O496" s="115">
        <v>94.56</v>
      </c>
      <c r="P496" s="116">
        <f t="shared" si="23"/>
        <v>1300.2</v>
      </c>
      <c r="Q496" s="111" t="s">
        <v>37</v>
      </c>
      <c r="R496" s="110" t="s">
        <v>28</v>
      </c>
      <c r="S496" s="110" t="s">
        <v>2813</v>
      </c>
    </row>
    <row r="497" spans="1:19" ht="18" customHeight="1">
      <c r="A497" s="110" t="s">
        <v>2822</v>
      </c>
      <c r="B497" s="111" t="s">
        <v>2739</v>
      </c>
      <c r="C497" s="111" t="s">
        <v>2823</v>
      </c>
      <c r="D497" s="4" t="s">
        <v>22</v>
      </c>
      <c r="E497" s="111" t="s">
        <v>2748</v>
      </c>
      <c r="F497" s="111" t="s">
        <v>2824</v>
      </c>
      <c r="G497" s="111" t="s">
        <v>2825</v>
      </c>
      <c r="H497" s="111" t="s">
        <v>2793</v>
      </c>
      <c r="I497" s="111" t="s">
        <v>2758</v>
      </c>
      <c r="J497" s="112">
        <v>35</v>
      </c>
      <c r="K497" s="113">
        <f t="shared" si="21"/>
        <v>0.77777777777777779</v>
      </c>
      <c r="L497" s="113">
        <v>45</v>
      </c>
      <c r="M497" s="113">
        <v>4</v>
      </c>
      <c r="N497" s="114">
        <f t="shared" si="22"/>
        <v>8.75</v>
      </c>
      <c r="O497" s="115">
        <v>94.56</v>
      </c>
      <c r="P497" s="116">
        <f t="shared" si="23"/>
        <v>827.4</v>
      </c>
      <c r="Q497" s="111" t="s">
        <v>37</v>
      </c>
      <c r="R497" s="110" t="s">
        <v>28</v>
      </c>
      <c r="S497" s="110" t="s">
        <v>2813</v>
      </c>
    </row>
    <row r="498" spans="1:19" ht="18" customHeight="1">
      <c r="A498" s="110" t="s">
        <v>2826</v>
      </c>
      <c r="B498" s="111" t="s">
        <v>2739</v>
      </c>
      <c r="C498" s="111" t="s">
        <v>2827</v>
      </c>
      <c r="D498" s="10" t="s">
        <v>45</v>
      </c>
      <c r="E498" s="111" t="s">
        <v>2828</v>
      </c>
      <c r="F498" s="111" t="s">
        <v>2829</v>
      </c>
      <c r="G498" s="111" t="s">
        <v>2830</v>
      </c>
      <c r="H498" s="111" t="s">
        <v>2830</v>
      </c>
      <c r="I498" s="111" t="s">
        <v>2831</v>
      </c>
      <c r="J498" s="112">
        <v>5</v>
      </c>
      <c r="K498" s="113">
        <f t="shared" si="21"/>
        <v>0.25</v>
      </c>
      <c r="L498" s="113">
        <v>20</v>
      </c>
      <c r="M498" s="113">
        <v>3.5</v>
      </c>
      <c r="N498" s="114">
        <f t="shared" si="22"/>
        <v>1.4285714285714286</v>
      </c>
      <c r="O498" s="115">
        <v>94.56</v>
      </c>
      <c r="P498" s="116">
        <f t="shared" si="23"/>
        <v>135.08571428571429</v>
      </c>
      <c r="Q498" s="111" t="s">
        <v>37</v>
      </c>
      <c r="R498" s="110" t="s">
        <v>28</v>
      </c>
      <c r="S498" s="110" t="s">
        <v>2813</v>
      </c>
    </row>
    <row r="499" spans="1:19" ht="18" customHeight="1">
      <c r="A499" s="110" t="s">
        <v>2832</v>
      </c>
      <c r="B499" s="111" t="s">
        <v>2739</v>
      </c>
      <c r="C499" s="111" t="s">
        <v>2833</v>
      </c>
      <c r="D499" s="10" t="s">
        <v>45</v>
      </c>
      <c r="E499" s="111" t="s">
        <v>2834</v>
      </c>
      <c r="F499" s="111" t="s">
        <v>2835</v>
      </c>
      <c r="G499" s="111" t="s">
        <v>2836</v>
      </c>
      <c r="H499" s="111" t="s">
        <v>2836</v>
      </c>
      <c r="I499" s="111" t="s">
        <v>2837</v>
      </c>
      <c r="J499" s="112">
        <v>5</v>
      </c>
      <c r="K499" s="113">
        <f t="shared" si="21"/>
        <v>0.25</v>
      </c>
      <c r="L499" s="113">
        <v>20</v>
      </c>
      <c r="M499" s="113">
        <v>3.5</v>
      </c>
      <c r="N499" s="114">
        <f t="shared" si="22"/>
        <v>1.4285714285714286</v>
      </c>
      <c r="O499" s="115">
        <v>94.56</v>
      </c>
      <c r="P499" s="116">
        <f t="shared" si="23"/>
        <v>135.08571428571429</v>
      </c>
      <c r="Q499" s="111" t="s">
        <v>27</v>
      </c>
      <c r="R499" s="110" t="s">
        <v>28</v>
      </c>
      <c r="S499" s="110" t="s">
        <v>2813</v>
      </c>
    </row>
    <row r="500" spans="1:19" ht="18" customHeight="1">
      <c r="A500" s="110" t="s">
        <v>2838</v>
      </c>
      <c r="B500" s="111" t="s">
        <v>2739</v>
      </c>
      <c r="C500" s="111" t="s">
        <v>2839</v>
      </c>
      <c r="D500" s="10" t="s">
        <v>45</v>
      </c>
      <c r="E500" s="111" t="s">
        <v>2840</v>
      </c>
      <c r="F500" s="111" t="s">
        <v>2841</v>
      </c>
      <c r="G500" s="111" t="s">
        <v>2748</v>
      </c>
      <c r="H500" s="111" t="s">
        <v>2748</v>
      </c>
      <c r="I500" s="111" t="s">
        <v>2842</v>
      </c>
      <c r="J500" s="112">
        <v>20</v>
      </c>
      <c r="K500" s="113">
        <f t="shared" si="21"/>
        <v>1</v>
      </c>
      <c r="L500" s="113">
        <v>20</v>
      </c>
      <c r="M500" s="113">
        <v>3.5</v>
      </c>
      <c r="N500" s="114">
        <f t="shared" si="22"/>
        <v>5.7142857142857144</v>
      </c>
      <c r="O500" s="115">
        <v>94.56</v>
      </c>
      <c r="P500" s="116">
        <f t="shared" si="23"/>
        <v>540.34285714285716</v>
      </c>
      <c r="Q500" s="111" t="s">
        <v>27</v>
      </c>
      <c r="R500" s="110" t="s">
        <v>28</v>
      </c>
      <c r="S500" s="110" t="s">
        <v>2813</v>
      </c>
    </row>
    <row r="501" spans="1:19" ht="18" customHeight="1">
      <c r="A501" s="110" t="s">
        <v>2843</v>
      </c>
      <c r="B501" s="111" t="s">
        <v>2739</v>
      </c>
      <c r="C501" s="111" t="s">
        <v>2844</v>
      </c>
      <c r="D501" s="10" t="s">
        <v>45</v>
      </c>
      <c r="E501" s="111" t="s">
        <v>2840</v>
      </c>
      <c r="F501" s="111" t="s">
        <v>2845</v>
      </c>
      <c r="G501" s="111" t="s">
        <v>2748</v>
      </c>
      <c r="H501" s="111" t="s">
        <v>2748</v>
      </c>
      <c r="I501" s="111" t="s">
        <v>2846</v>
      </c>
      <c r="J501" s="112">
        <v>12</v>
      </c>
      <c r="K501" s="113">
        <f t="shared" si="21"/>
        <v>0.6</v>
      </c>
      <c r="L501" s="113">
        <v>20</v>
      </c>
      <c r="M501" s="113">
        <v>3.5</v>
      </c>
      <c r="N501" s="114">
        <f t="shared" si="22"/>
        <v>3.4285714285714284</v>
      </c>
      <c r="O501" s="115">
        <v>94.56</v>
      </c>
      <c r="P501" s="116">
        <f t="shared" si="23"/>
        <v>324.20571428571429</v>
      </c>
      <c r="Q501" s="111" t="s">
        <v>37</v>
      </c>
      <c r="R501" s="110" t="s">
        <v>28</v>
      </c>
      <c r="S501" s="110" t="s">
        <v>2813</v>
      </c>
    </row>
  </sheetData>
  <autoFilter ref="A1:S1" xr:uid="{00000000-0009-0000-0000-000000000000}"/>
  <pageMargins left="0.75" right="0.75" top="1" bottom="1" header="0.511811023622047" footer="0.511811023622047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topLeftCell="A12" zoomScaleNormal="100" workbookViewId="0"/>
  </sheetViews>
  <sheetFormatPr defaultColWidth="8.7109375" defaultRowHeight="14.45"/>
  <cols>
    <col min="1" max="1" width="25" customWidth="1"/>
    <col min="2" max="3" width="12" customWidth="1"/>
    <col min="4" max="4" width="15" customWidth="1"/>
    <col min="5" max="6" width="20" customWidth="1"/>
  </cols>
  <sheetData>
    <row r="1" spans="1:6" ht="30" customHeight="1">
      <c r="A1" s="138" t="s">
        <v>2847</v>
      </c>
      <c r="B1" s="138" t="s">
        <v>2848</v>
      </c>
      <c r="C1" s="138" t="s">
        <v>2849</v>
      </c>
      <c r="D1" s="138" t="s">
        <v>2850</v>
      </c>
      <c r="E1" s="138" t="s">
        <v>2851</v>
      </c>
      <c r="F1" s="138" t="s">
        <v>2852</v>
      </c>
    </row>
    <row r="2" spans="1:6" ht="18" customHeight="1">
      <c r="A2" s="139" t="s">
        <v>20</v>
      </c>
      <c r="B2" s="140">
        <v>20</v>
      </c>
      <c r="C2" s="141">
        <v>2277</v>
      </c>
      <c r="D2" s="142">
        <v>51991.86</v>
      </c>
      <c r="E2" s="140">
        <v>7</v>
      </c>
      <c r="F2" s="140">
        <v>0</v>
      </c>
    </row>
    <row r="3" spans="1:6" ht="18" customHeight="1">
      <c r="A3" s="143" t="s">
        <v>151</v>
      </c>
      <c r="B3" s="144">
        <v>16</v>
      </c>
      <c r="C3" s="145">
        <v>4233</v>
      </c>
      <c r="D3" s="146">
        <v>93450.42</v>
      </c>
      <c r="E3" s="144">
        <v>5</v>
      </c>
      <c r="F3" s="144">
        <v>0</v>
      </c>
    </row>
    <row r="4" spans="1:6" ht="18" customHeight="1">
      <c r="A4" s="147" t="s">
        <v>255</v>
      </c>
      <c r="B4" s="148">
        <v>18</v>
      </c>
      <c r="C4" s="149">
        <v>2077</v>
      </c>
      <c r="D4" s="150">
        <v>46883.75</v>
      </c>
      <c r="E4" s="148">
        <v>7</v>
      </c>
      <c r="F4" s="148">
        <v>0</v>
      </c>
    </row>
    <row r="5" spans="1:6" ht="18" customHeight="1">
      <c r="A5" s="151" t="s">
        <v>364</v>
      </c>
      <c r="B5" s="152">
        <v>19</v>
      </c>
      <c r="C5" s="153">
        <v>2392</v>
      </c>
      <c r="D5" s="154">
        <v>53519.83</v>
      </c>
      <c r="E5" s="152">
        <v>8</v>
      </c>
      <c r="F5" s="152">
        <v>0</v>
      </c>
    </row>
    <row r="6" spans="1:6" ht="18" customHeight="1">
      <c r="A6" s="155" t="s">
        <v>469</v>
      </c>
      <c r="B6" s="156">
        <v>17</v>
      </c>
      <c r="C6" s="157">
        <v>1742</v>
      </c>
      <c r="D6" s="158">
        <v>40426.65</v>
      </c>
      <c r="E6" s="156">
        <v>5</v>
      </c>
      <c r="F6" s="156">
        <v>1</v>
      </c>
    </row>
    <row r="7" spans="1:6" ht="18" customHeight="1">
      <c r="A7" s="159" t="s">
        <v>564</v>
      </c>
      <c r="B7" s="160">
        <v>16</v>
      </c>
      <c r="C7" s="161">
        <v>616</v>
      </c>
      <c r="D7" s="162">
        <v>14770.12</v>
      </c>
      <c r="E7" s="160">
        <v>3</v>
      </c>
      <c r="F7" s="160">
        <v>0</v>
      </c>
    </row>
    <row r="8" spans="1:6" ht="18" customHeight="1">
      <c r="A8" s="163" t="s">
        <v>656</v>
      </c>
      <c r="B8" s="164">
        <v>20</v>
      </c>
      <c r="C8" s="165">
        <v>2435</v>
      </c>
      <c r="D8" s="166">
        <v>55511.22</v>
      </c>
      <c r="E8" s="164">
        <v>4</v>
      </c>
      <c r="F8" s="164">
        <v>3</v>
      </c>
    </row>
    <row r="9" spans="1:6" ht="18" customHeight="1">
      <c r="A9" s="167" t="s">
        <v>768</v>
      </c>
      <c r="B9" s="168">
        <v>18</v>
      </c>
      <c r="C9" s="169">
        <v>1397</v>
      </c>
      <c r="D9" s="170">
        <v>31095.98</v>
      </c>
      <c r="E9" s="168">
        <v>5</v>
      </c>
      <c r="F9" s="168">
        <v>2</v>
      </c>
    </row>
    <row r="10" spans="1:6" ht="18" customHeight="1">
      <c r="A10" s="171" t="s">
        <v>867</v>
      </c>
      <c r="B10" s="172">
        <v>17</v>
      </c>
      <c r="C10" s="173">
        <v>1915</v>
      </c>
      <c r="D10" s="174">
        <v>43983.53</v>
      </c>
      <c r="E10" s="172">
        <v>6</v>
      </c>
      <c r="F10" s="172">
        <v>0</v>
      </c>
    </row>
    <row r="11" spans="1:6" ht="18" customHeight="1">
      <c r="A11" s="175" t="s">
        <v>972</v>
      </c>
      <c r="B11" s="176">
        <v>17</v>
      </c>
      <c r="C11" s="177">
        <v>1445</v>
      </c>
      <c r="D11" s="178">
        <v>34075.370000000003</v>
      </c>
      <c r="E11" s="176">
        <v>6</v>
      </c>
      <c r="F11" s="176">
        <v>0</v>
      </c>
    </row>
    <row r="12" spans="1:6" ht="18" customHeight="1">
      <c r="A12" s="179" t="s">
        <v>1066</v>
      </c>
      <c r="B12" s="180">
        <v>20</v>
      </c>
      <c r="C12" s="181">
        <v>2225</v>
      </c>
      <c r="D12" s="182">
        <v>49602.8</v>
      </c>
      <c r="E12" s="180">
        <v>5</v>
      </c>
      <c r="F12" s="180">
        <v>3</v>
      </c>
    </row>
    <row r="13" spans="1:6" ht="18" customHeight="1">
      <c r="A13" s="167" t="s">
        <v>1183</v>
      </c>
      <c r="B13" s="168">
        <v>18</v>
      </c>
      <c r="C13" s="169">
        <v>1431</v>
      </c>
      <c r="D13" s="170">
        <v>32417.94</v>
      </c>
      <c r="E13" s="168">
        <v>5</v>
      </c>
      <c r="F13" s="168">
        <v>0</v>
      </c>
    </row>
    <row r="14" spans="1:6" ht="18" customHeight="1">
      <c r="A14" s="163" t="s">
        <v>1283</v>
      </c>
      <c r="B14" s="164">
        <v>19</v>
      </c>
      <c r="C14" s="165">
        <v>2630</v>
      </c>
      <c r="D14" s="166">
        <v>59923.65</v>
      </c>
      <c r="E14" s="164">
        <v>6</v>
      </c>
      <c r="F14" s="164">
        <v>0</v>
      </c>
    </row>
    <row r="15" spans="1:6" ht="18" customHeight="1">
      <c r="A15" s="183" t="s">
        <v>1388</v>
      </c>
      <c r="B15" s="184">
        <v>21</v>
      </c>
      <c r="C15" s="185">
        <v>2476</v>
      </c>
      <c r="D15" s="186">
        <v>55275.72</v>
      </c>
      <c r="E15" s="184">
        <v>6</v>
      </c>
      <c r="F15" s="184">
        <v>2</v>
      </c>
    </row>
    <row r="16" spans="1:6" ht="18" customHeight="1">
      <c r="A16" s="187" t="s">
        <v>1501</v>
      </c>
      <c r="B16" s="188">
        <v>16</v>
      </c>
      <c r="C16" s="189">
        <v>1550</v>
      </c>
      <c r="D16" s="190">
        <v>37114.800000000003</v>
      </c>
      <c r="E16" s="188">
        <v>4</v>
      </c>
      <c r="F16" s="188">
        <v>0</v>
      </c>
    </row>
    <row r="17" spans="1:6" ht="18" customHeight="1">
      <c r="A17" s="191" t="s">
        <v>1586</v>
      </c>
      <c r="B17" s="192">
        <v>15</v>
      </c>
      <c r="C17" s="193">
        <v>1053</v>
      </c>
      <c r="D17" s="194">
        <v>25726.7</v>
      </c>
      <c r="E17" s="192">
        <v>4</v>
      </c>
      <c r="F17" s="192">
        <v>0</v>
      </c>
    </row>
    <row r="18" spans="1:6" ht="18" customHeight="1">
      <c r="A18" s="195" t="s">
        <v>1674</v>
      </c>
      <c r="B18" s="196">
        <v>15</v>
      </c>
      <c r="C18" s="197">
        <v>1423</v>
      </c>
      <c r="D18" s="198">
        <v>35036.36</v>
      </c>
      <c r="E18" s="196">
        <v>3</v>
      </c>
      <c r="F18" s="196">
        <v>0</v>
      </c>
    </row>
    <row r="19" spans="1:6" ht="18" customHeight="1">
      <c r="A19" s="199" t="s">
        <v>1749</v>
      </c>
      <c r="B19" s="200">
        <v>15</v>
      </c>
      <c r="C19" s="201">
        <v>861</v>
      </c>
      <c r="D19" s="202">
        <v>21982.95</v>
      </c>
      <c r="E19" s="200">
        <v>3</v>
      </c>
      <c r="F19" s="200">
        <v>0</v>
      </c>
    </row>
    <row r="20" spans="1:6" ht="18" customHeight="1">
      <c r="A20" s="203" t="s">
        <v>1830</v>
      </c>
      <c r="B20" s="204">
        <v>19</v>
      </c>
      <c r="C20" s="205">
        <v>2027</v>
      </c>
      <c r="D20" s="206">
        <v>47108.89</v>
      </c>
      <c r="E20" s="204">
        <v>6</v>
      </c>
      <c r="F20" s="204">
        <v>0</v>
      </c>
    </row>
    <row r="21" spans="1:6" ht="18" customHeight="1">
      <c r="A21" s="207" t="s">
        <v>1948</v>
      </c>
      <c r="B21" s="208">
        <v>18</v>
      </c>
      <c r="C21" s="209">
        <v>1818</v>
      </c>
      <c r="D21" s="210">
        <v>40704.33</v>
      </c>
      <c r="E21" s="208">
        <v>6</v>
      </c>
      <c r="F21" s="208">
        <v>1</v>
      </c>
    </row>
    <row r="22" spans="1:6" ht="18" customHeight="1">
      <c r="A22" s="163" t="s">
        <v>2047</v>
      </c>
      <c r="B22" s="164">
        <v>20</v>
      </c>
      <c r="C22" s="165">
        <v>3188</v>
      </c>
      <c r="D22" s="166">
        <v>69256.19</v>
      </c>
      <c r="E22" s="164">
        <v>7</v>
      </c>
      <c r="F22" s="164">
        <v>1</v>
      </c>
    </row>
    <row r="23" spans="1:6" ht="18" customHeight="1">
      <c r="A23" s="211" t="s">
        <v>2155</v>
      </c>
      <c r="B23" s="212">
        <v>15</v>
      </c>
      <c r="C23" s="213">
        <v>683</v>
      </c>
      <c r="D23" s="214">
        <v>18007.3</v>
      </c>
      <c r="E23" s="212">
        <v>3</v>
      </c>
      <c r="F23" s="212">
        <v>0</v>
      </c>
    </row>
    <row r="24" spans="1:6" ht="18" customHeight="1">
      <c r="A24" s="191" t="s">
        <v>2235</v>
      </c>
      <c r="B24" s="192">
        <v>20</v>
      </c>
      <c r="C24" s="193">
        <v>3150</v>
      </c>
      <c r="D24" s="194">
        <v>68531.61</v>
      </c>
      <c r="E24" s="192">
        <v>6</v>
      </c>
      <c r="F24" s="192">
        <v>2</v>
      </c>
    </row>
    <row r="25" spans="1:6" ht="18" customHeight="1">
      <c r="A25" s="183" t="s">
        <v>2347</v>
      </c>
      <c r="B25" s="184">
        <v>18</v>
      </c>
      <c r="C25" s="185">
        <v>1860</v>
      </c>
      <c r="D25" s="186">
        <v>42393.72</v>
      </c>
      <c r="E25" s="184">
        <v>5</v>
      </c>
      <c r="F25" s="184">
        <v>2</v>
      </c>
    </row>
    <row r="26" spans="1:6" ht="18" customHeight="1">
      <c r="A26" s="187" t="s">
        <v>2445</v>
      </c>
      <c r="B26" s="188">
        <v>15</v>
      </c>
      <c r="C26" s="189">
        <v>885</v>
      </c>
      <c r="D26" s="190">
        <v>21795.7</v>
      </c>
      <c r="E26" s="188">
        <v>3</v>
      </c>
      <c r="F26" s="188">
        <v>0</v>
      </c>
    </row>
    <row r="27" spans="1:6" ht="18" customHeight="1">
      <c r="A27" s="167" t="s">
        <v>2527</v>
      </c>
      <c r="B27" s="168">
        <v>22</v>
      </c>
      <c r="C27" s="169">
        <v>4072</v>
      </c>
      <c r="D27" s="170">
        <v>84714.73</v>
      </c>
      <c r="E27" s="168">
        <v>5</v>
      </c>
      <c r="F27" s="168">
        <v>7</v>
      </c>
    </row>
    <row r="28" spans="1:6" ht="18" customHeight="1">
      <c r="A28" s="171" t="s">
        <v>2644</v>
      </c>
      <c r="B28" s="172">
        <v>17</v>
      </c>
      <c r="C28" s="173">
        <v>2035</v>
      </c>
      <c r="D28" s="174">
        <v>46595.19</v>
      </c>
      <c r="E28" s="172">
        <v>7</v>
      </c>
      <c r="F28" s="172">
        <v>0</v>
      </c>
    </row>
    <row r="29" spans="1:6" ht="18" customHeight="1">
      <c r="A29" s="199" t="s">
        <v>2739</v>
      </c>
      <c r="B29" s="200">
        <v>19</v>
      </c>
      <c r="C29" s="201">
        <v>1937</v>
      </c>
      <c r="D29" s="202">
        <v>43797.42</v>
      </c>
      <c r="E29" s="200">
        <v>6</v>
      </c>
      <c r="F29" s="200">
        <v>0</v>
      </c>
    </row>
    <row r="30" spans="1:6">
      <c r="A30" s="1" t="s">
        <v>2853</v>
      </c>
      <c r="B30" s="215">
        <f>SUM(B2:B29)</f>
        <v>500</v>
      </c>
      <c r="C30" s="215">
        <f>SUM(C2:C29)</f>
        <v>55833</v>
      </c>
      <c r="D30" s="216">
        <f>SUM(D2:D29)</f>
        <v>1265694.7299999997</v>
      </c>
      <c r="E30" s="215">
        <f>SUM(E2:E29)</f>
        <v>146</v>
      </c>
      <c r="F30" s="215">
        <f>SUM(F2:F29)</f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topLeftCell="A11" zoomScaleNormal="100" workbookViewId="0">
      <selection sqref="A1:D1"/>
    </sheetView>
  </sheetViews>
  <sheetFormatPr defaultColWidth="8.7109375" defaultRowHeight="14.45"/>
  <cols>
    <col min="1" max="1" width="35" customWidth="1"/>
    <col min="2" max="2" width="22" customWidth="1"/>
    <col min="3" max="4" width="20" customWidth="1"/>
  </cols>
  <sheetData>
    <row r="1" spans="1:4" ht="39.75" customHeight="1">
      <c r="A1" s="245" t="s">
        <v>2854</v>
      </c>
      <c r="B1" s="245"/>
      <c r="C1" s="245"/>
      <c r="D1" s="245"/>
    </row>
    <row r="3" spans="1:4" ht="15" customHeight="1">
      <c r="A3" s="246" t="s">
        <v>2855</v>
      </c>
      <c r="B3" s="246"/>
      <c r="C3" s="246"/>
      <c r="D3" s="246"/>
    </row>
    <row r="4" spans="1:4">
      <c r="A4" s="217" t="s">
        <v>2856</v>
      </c>
      <c r="B4" s="218">
        <f>COUNTA('India Road Network'!A2:A502)</f>
        <v>500</v>
      </c>
    </row>
    <row r="5" spans="1:4">
      <c r="A5" s="217" t="s">
        <v>2857</v>
      </c>
      <c r="B5" s="218">
        <v>28</v>
      </c>
    </row>
    <row r="6" spans="1:4">
      <c r="A6" s="217" t="s">
        <v>2858</v>
      </c>
      <c r="B6" s="219">
        <f>SUM('India Road Network'!J2:J502)</f>
        <v>55833</v>
      </c>
    </row>
    <row r="7" spans="1:4">
      <c r="A7" s="217" t="s">
        <v>2850</v>
      </c>
      <c r="B7" s="220">
        <f>SUM('India Road Network'!P2:P502)</f>
        <v>1265694.7558095239</v>
      </c>
    </row>
    <row r="8" spans="1:4">
      <c r="A8" s="217" t="s">
        <v>2859</v>
      </c>
      <c r="B8" s="220">
        <v>94.56</v>
      </c>
    </row>
    <row r="10" spans="1:4" ht="15" customHeight="1">
      <c r="A10" s="246" t="s">
        <v>2860</v>
      </c>
      <c r="B10" s="246"/>
      <c r="C10" s="244" t="s">
        <v>2861</v>
      </c>
    </row>
    <row r="11" spans="1:4">
      <c r="A11" s="221" t="s">
        <v>2862</v>
      </c>
      <c r="B11" s="222">
        <f>COUNTIF('India Road Network'!D2:D502,"National Highway")</f>
        <v>146</v>
      </c>
      <c r="C11" s="149">
        <f>SUMIF('India Road Network'!D2:D502,"National Highway",'India Road Network'!J2:J502)</f>
        <v>33728</v>
      </c>
    </row>
    <row r="12" spans="1:4">
      <c r="A12" s="223" t="s">
        <v>2863</v>
      </c>
      <c r="B12" s="224">
        <f>COUNTIF('India Road Network'!D2:D502,"Expressway")</f>
        <v>24</v>
      </c>
      <c r="C12" s="145">
        <f>SUMIF('India Road Network'!D2:D502,"Expressway",'India Road Network'!J2:J502)</f>
        <v>5161</v>
      </c>
    </row>
    <row r="13" spans="1:4">
      <c r="A13" s="225" t="s">
        <v>2864</v>
      </c>
      <c r="B13" s="226">
        <f>COUNTIF('India Road Network'!D2:D502,"State Highway")</f>
        <v>91</v>
      </c>
      <c r="C13" s="227">
        <f>SUMIF('India Road Network'!D2:D502,"State Highway",'India Road Network'!J2:J502)</f>
        <v>7634</v>
      </c>
    </row>
    <row r="14" spans="1:4">
      <c r="A14" s="228" t="s">
        <v>2865</v>
      </c>
      <c r="B14" s="229">
        <f>COUNTIF('India Road Network'!D2:D502,"Major District Road")</f>
        <v>55</v>
      </c>
      <c r="C14" s="153">
        <f>SUMIF('India Road Network'!D2:D502,"Major District Road",'India Road Network'!J2:J502)</f>
        <v>2190</v>
      </c>
    </row>
    <row r="15" spans="1:4">
      <c r="A15" s="230" t="s">
        <v>2866</v>
      </c>
      <c r="B15" s="231">
        <f>COUNTIF('India Road Network'!D2:D502,"Village Road")</f>
        <v>116</v>
      </c>
      <c r="C15" s="232">
        <f>SUMIF('India Road Network'!D2:D502,"Village Road",'India Road Network'!J2:J502)</f>
        <v>6075</v>
      </c>
    </row>
    <row r="16" spans="1:4">
      <c r="A16" s="233" t="s">
        <v>2867</v>
      </c>
      <c r="B16" s="234">
        <f>COUNTIF('India Road Network'!D2:D502,"Urban Road")</f>
        <v>68</v>
      </c>
      <c r="C16" s="235">
        <f>SUMIF('India Road Network'!D2:D502,"Urban Road",'India Road Network'!J2:J502)</f>
        <v>1045</v>
      </c>
    </row>
    <row r="19" spans="1:4" ht="15" customHeight="1">
      <c r="A19" s="246" t="s">
        <v>2868</v>
      </c>
      <c r="B19" s="246"/>
      <c r="C19" s="246"/>
      <c r="D19" s="246"/>
    </row>
    <row r="20" spans="1:4">
      <c r="A20" s="223" t="s">
        <v>2869</v>
      </c>
      <c r="B20" s="224">
        <f>COUNTIF('India Road Network'!Q2:Q502,"Good")</f>
        <v>204</v>
      </c>
    </row>
    <row r="21" spans="1:4">
      <c r="A21" s="221" t="s">
        <v>2870</v>
      </c>
      <c r="B21" s="222">
        <f>COUNTIF('India Road Network'!Q2:Q502,"Moderate")</f>
        <v>173</v>
      </c>
    </row>
    <row r="22" spans="1:4">
      <c r="A22" s="230" t="s">
        <v>2871</v>
      </c>
      <c r="B22" s="231">
        <f>COUNTIF('India Road Network'!Q2:Q502,"Poor")</f>
        <v>123</v>
      </c>
    </row>
    <row r="24" spans="1:4" ht="15" customHeight="1">
      <c r="A24" s="246" t="s">
        <v>2872</v>
      </c>
      <c r="B24" s="246"/>
      <c r="C24" s="246"/>
      <c r="D24" s="246"/>
    </row>
    <row r="25" spans="1:4">
      <c r="A25" s="225" t="s">
        <v>2873</v>
      </c>
      <c r="B25" s="226">
        <f>COUNTIF('India Road Network'!R2:R502,"Yes")</f>
        <v>144</v>
      </c>
    </row>
    <row r="26" spans="1:4">
      <c r="A26" s="225" t="s">
        <v>2874</v>
      </c>
      <c r="B26" s="226">
        <f>COUNTIF('India Road Network'!R2:R502,"No")</f>
        <v>356</v>
      </c>
    </row>
  </sheetData>
  <mergeCells count="5">
    <mergeCell ref="A1:D1"/>
    <mergeCell ref="A3:D3"/>
    <mergeCell ref="A10:B10"/>
    <mergeCell ref="A19:D19"/>
    <mergeCell ref="A24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"/>
  <sheetViews>
    <sheetView zoomScaleNormal="100" workbookViewId="0">
      <selection sqref="A1:C1"/>
    </sheetView>
  </sheetViews>
  <sheetFormatPr defaultColWidth="8.7109375" defaultRowHeight="14.45"/>
  <cols>
    <col min="1" max="1" width="30" customWidth="1"/>
    <col min="2" max="2" width="20" customWidth="1"/>
    <col min="3" max="3" width="45" customWidth="1"/>
  </cols>
  <sheetData>
    <row r="1" spans="1:3" ht="34.5" customHeight="1">
      <c r="A1" s="247" t="s">
        <v>2875</v>
      </c>
      <c r="B1" s="247"/>
      <c r="C1" s="247"/>
    </row>
    <row r="3" spans="1:3">
      <c r="A3" s="244" t="s">
        <v>2876</v>
      </c>
      <c r="B3" s="244" t="s">
        <v>2877</v>
      </c>
      <c r="C3" s="244" t="s">
        <v>2878</v>
      </c>
    </row>
    <row r="4" spans="1:3">
      <c r="A4" s="236" t="s">
        <v>81</v>
      </c>
      <c r="B4" s="236" t="s">
        <v>2879</v>
      </c>
      <c r="C4" s="236" t="s">
        <v>2880</v>
      </c>
    </row>
    <row r="5" spans="1:3">
      <c r="A5" s="237" t="s">
        <v>519</v>
      </c>
      <c r="B5" s="237" t="s">
        <v>2879</v>
      </c>
      <c r="C5" s="237" t="s">
        <v>2881</v>
      </c>
    </row>
    <row r="6" spans="1:3">
      <c r="A6" s="238" t="s">
        <v>22</v>
      </c>
      <c r="B6" s="238" t="s">
        <v>2879</v>
      </c>
      <c r="C6" s="238" t="s">
        <v>2882</v>
      </c>
    </row>
    <row r="7" spans="1:3">
      <c r="A7" s="239" t="s">
        <v>67</v>
      </c>
      <c r="B7" s="239" t="s">
        <v>2879</v>
      </c>
      <c r="C7" s="239" t="s">
        <v>2883</v>
      </c>
    </row>
    <row r="8" spans="1:3">
      <c r="A8" s="240" t="s">
        <v>59</v>
      </c>
      <c r="B8" s="240" t="s">
        <v>2879</v>
      </c>
      <c r="C8" s="240" t="s">
        <v>2884</v>
      </c>
    </row>
    <row r="9" spans="1:3">
      <c r="A9" s="241" t="s">
        <v>45</v>
      </c>
      <c r="B9" s="241" t="s">
        <v>2879</v>
      </c>
      <c r="C9" s="241" t="s">
        <v>2885</v>
      </c>
    </row>
    <row r="11" spans="1:3" ht="15" customHeight="1">
      <c r="A11" s="248" t="s">
        <v>2886</v>
      </c>
      <c r="B11" s="248"/>
      <c r="C11" s="248"/>
    </row>
    <row r="12" spans="1:3" ht="24.75" customHeight="1">
      <c r="A12" s="242" t="s">
        <v>2887</v>
      </c>
      <c r="B12" s="243" t="s">
        <v>2888</v>
      </c>
      <c r="C12" s="243" t="s">
        <v>2889</v>
      </c>
    </row>
    <row r="13" spans="1:3" ht="24.75" customHeight="1">
      <c r="A13" s="242" t="s">
        <v>2890</v>
      </c>
      <c r="B13" s="243" t="s">
        <v>2891</v>
      </c>
      <c r="C13" s="243" t="s">
        <v>2892</v>
      </c>
    </row>
    <row r="14" spans="1:3" ht="24.75" customHeight="1">
      <c r="A14" s="242" t="s">
        <v>2893</v>
      </c>
      <c r="B14" s="243" t="s">
        <v>2894</v>
      </c>
      <c r="C14" s="243" t="s">
        <v>2895</v>
      </c>
    </row>
    <row r="16" spans="1:3" ht="15" customHeight="1">
      <c r="A16" s="248" t="s">
        <v>2896</v>
      </c>
      <c r="B16" s="248"/>
      <c r="C16" s="248"/>
    </row>
    <row r="17" spans="1:3">
      <c r="A17" s="249" t="s">
        <v>2897</v>
      </c>
      <c r="B17" s="249"/>
      <c r="C17" s="249"/>
    </row>
    <row r="18" spans="1:3">
      <c r="A18" s="249" t="s">
        <v>2898</v>
      </c>
      <c r="B18" s="249"/>
      <c r="C18" s="249"/>
    </row>
    <row r="19" spans="1:3">
      <c r="A19" s="249" t="s">
        <v>2899</v>
      </c>
      <c r="B19" s="249"/>
      <c r="C19" s="249"/>
    </row>
    <row r="20" spans="1:3">
      <c r="A20" s="249" t="s">
        <v>2900</v>
      </c>
      <c r="B20" s="249"/>
      <c r="C20" s="249"/>
    </row>
    <row r="21" spans="1:3">
      <c r="A21" s="249" t="s">
        <v>2901</v>
      </c>
      <c r="B21" s="249"/>
      <c r="C21" s="249"/>
    </row>
    <row r="22" spans="1:3">
      <c r="A22" s="249" t="s">
        <v>2902</v>
      </c>
      <c r="B22" s="249"/>
      <c r="C22" s="249"/>
    </row>
    <row r="23" spans="1:3">
      <c r="A23" s="249" t="s">
        <v>2903</v>
      </c>
      <c r="B23" s="249"/>
      <c r="C23" s="249"/>
    </row>
  </sheetData>
  <mergeCells count="10">
    <mergeCell ref="A19:C19"/>
    <mergeCell ref="A20:C20"/>
    <mergeCell ref="A21:C21"/>
    <mergeCell ref="A22:C22"/>
    <mergeCell ref="A23:C23"/>
    <mergeCell ref="A1:C1"/>
    <mergeCell ref="A11:C11"/>
    <mergeCell ref="A16:C16"/>
    <mergeCell ref="A17:C17"/>
    <mergeCell ref="A18:C18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2026-04-05T07:16:28Z</dcterms:created>
  <dcterms:modified xsi:type="dcterms:W3CDTF">2026-04-06T15:09:16Z</dcterms:modified>
  <cp:category/>
  <cp:contentStatus/>
</cp:coreProperties>
</file>